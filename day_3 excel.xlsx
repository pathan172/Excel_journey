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d98b0c1bf6d8f4/Desktop/"/>
    </mc:Choice>
  </mc:AlternateContent>
  <xr:revisionPtr revIDLastSave="0" documentId="8_{8483B320-4627-4725-A208-6F1671286390}" xr6:coauthVersionLast="36" xr6:coauthVersionMax="36" xr10:uidLastSave="{00000000-0000-0000-0000-000000000000}"/>
  <bookViews>
    <workbookView xWindow="22935" yWindow="-105" windowWidth="23250" windowHeight="13170" tabRatio="925" firstSheet="8" activeTab="9" xr2:uid="{00000000-000D-0000-FFFF-FFFF00000000}"/>
  </bookViews>
  <sheets>
    <sheet name="Basic_Data" sheetId="1" r:id="rId1"/>
    <sheet name="Remove_duplicate" sheetId="8" r:id="rId2"/>
    <sheet name="Data Validation" sheetId="13" r:id="rId3"/>
    <sheet name="RD-2" sheetId="9" r:id="rId4"/>
    <sheet name="Remove Blank Rows" sheetId="11" r:id="rId5"/>
    <sheet name="Remove Space" sheetId="10" r:id="rId6"/>
    <sheet name="Data_Cleaning" sheetId="2" r:id="rId7"/>
    <sheet name="Split Data" sheetId="12" r:id="rId8"/>
    <sheet name="Incentive Calc" sheetId="14" r:id="rId9"/>
    <sheet name="Logical_Functions" sheetId="3" r:id="rId10"/>
    <sheet name="Sales1" sheetId="15" r:id="rId11"/>
    <sheet name="Sales2" sheetId="16" r:id="rId12"/>
    <sheet name="Visualization_Data" sheetId="4" r:id="rId13"/>
    <sheet name="Pivot_Data" sheetId="5" r:id="rId14"/>
    <sheet name="BI_Data" sheetId="6" r:id="rId15"/>
    <sheet name="Case_Study" sheetId="7" r:id="rId16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G3" i="14"/>
  <c r="G4" i="14"/>
  <c r="G5" i="14"/>
  <c r="G6" i="14"/>
  <c r="G7" i="14"/>
  <c r="G8" i="14"/>
  <c r="G9" i="14"/>
  <c r="G10" i="14"/>
  <c r="G11" i="14"/>
  <c r="G12" i="14"/>
  <c r="G13" i="14"/>
  <c r="G2" i="14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C2" i="12" l="1"/>
  <c r="C3" i="12"/>
  <c r="C4" i="12"/>
  <c r="G3" i="12"/>
  <c r="G4" i="12"/>
  <c r="E3" i="12"/>
  <c r="E4" i="12"/>
  <c r="E2" i="12"/>
  <c r="G2" i="12" s="1"/>
  <c r="B3" i="12"/>
  <c r="B4" i="12"/>
  <c r="B2" i="12"/>
  <c r="F3" i="12"/>
  <c r="F4" i="12"/>
  <c r="F2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E2" i="8"/>
  <c r="F2" i="8" s="1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3" i="8"/>
  <c r="D4" i="8"/>
  <c r="D5" i="8"/>
  <c r="D6" i="8"/>
  <c r="D7" i="8"/>
  <c r="D8" i="8"/>
  <c r="D9" i="8"/>
  <c r="D10" i="8"/>
  <c r="D2" i="8"/>
  <c r="G3" i="8"/>
  <c r="G4" i="8"/>
  <c r="G5" i="8"/>
  <c r="G6" i="8"/>
  <c r="G7" i="8"/>
  <c r="G8" i="8"/>
  <c r="G9" i="8"/>
  <c r="G10" i="8"/>
  <c r="G2" i="8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<sst xmlns="http://schemas.openxmlformats.org/spreadsheetml/2006/main" count="19273" uniqueCount="3712">
  <si>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</si>
  <si>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</si>
  <si>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</si>
  <si>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</si>
  <si>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</si>
  <si>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</si>
  <si>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</si>
  <si>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</si>
  <si>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</si>
  <si>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</si>
  <si>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</si>
  <si>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</si>
  <si>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</si>
  <si>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</si>
  <si>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</si>
  <si>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</si>
  <si>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</si>
  <si>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</si>
  <si>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</si>
  <si>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</si>
  <si>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</si>
  <si>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</si>
  <si>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</si>
  <si>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</si>
  <si>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</si>
  <si>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</si>
  <si>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</si>
  <si>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</si>
  <si>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</si>
  <si>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</si>
  <si>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</si>
  <si>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</si>
  <si>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</si>
  <si>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</si>
  <si>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</si>
  <si>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</si>
  <si>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</si>
  <si>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</si>
  <si>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</si>
  <si>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</si>
  <si>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</si>
  <si>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</si>
  <si>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</si>
  <si>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</si>
  <si>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</si>
  <si>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</si>
  <si>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</si>
  <si>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</si>
  <si>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</si>
  <si>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</si>
  <si>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</si>
  <si>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</si>
  <si>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</si>
  <si>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</si>
  <si>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</si>
  <si>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</si>
  <si>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</si>
  <si>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</si>
  <si>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</si>
  <si>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</si>
  <si>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</si>
  <si>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</si>
  <si>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</si>
  <si>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</si>
  <si>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</si>
  <si>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</si>
  <si>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</si>
  <si>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</si>
  <si>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</si>
  <si>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</si>
  <si>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</si>
  <si>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</si>
  <si>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</si>
  <si>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</si>
  <si>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</si>
  <si>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</si>
  <si>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</si>
  <si>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</si>
  <si>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</si>
  <si>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</si>
  <si>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</si>
  <si>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</si>
  <si>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</si>
  <si>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</si>
  <si>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</si>
  <si>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</si>
  <si>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</si>
  <si>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</si>
  <si>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</si>
  <si>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</si>
  <si>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</si>
  <si>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</si>
  <si>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</si>
  <si>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</si>
  <si>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</si>
  <si>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</si>
  <si>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</si>
  <si>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</si>
  <si>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</si>
  <si>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</si>
  <si>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</si>
  <si>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</si>
  <si>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</si>
  <si>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</si>
  <si>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</si>
  <si>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</si>
  <si>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</si>
  <si>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</si>
  <si>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</si>
  <si>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</si>
  <si>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</si>
  <si>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</si>
  <si>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</si>
  <si>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</si>
  <si>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</si>
  <si>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</si>
  <si>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</si>
  <si>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</si>
  <si>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</si>
  <si>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</si>
  <si>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</si>
  <si>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</si>
  <si>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</si>
  <si>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</si>
  <si>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</si>
  <si>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</si>
  <si>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</si>
  <si>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</si>
  <si>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</si>
  <si>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</si>
  <si>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</si>
  <si>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</si>
  <si>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</si>
  <si>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</si>
  <si>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</si>
  <si>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</si>
  <si>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</si>
  <si>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</si>
  <si>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</si>
  <si>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</si>
  <si>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</si>
  <si>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</si>
  <si>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</si>
  <si>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</si>
  <si>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</si>
  <si>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</si>
  <si>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</si>
  <si>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</si>
  <si>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</si>
  <si>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</si>
  <si>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</si>
  <si>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</si>
  <si>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</si>
  <si>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</si>
  <si>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</si>
  <si>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</si>
  <si>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</si>
  <si>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</si>
  <si>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</si>
  <si>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</si>
  <si>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</si>
  <si>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</si>
  <si>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</si>
  <si>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</si>
  <si>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</si>
  <si>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</si>
  <si>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</si>
  <si>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</si>
  <si>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</si>
  <si>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</si>
  <si>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</si>
  <si>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</si>
  <si>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</si>
  <si>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</si>
  <si>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</si>
  <si>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</si>
  <si>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</si>
  <si>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</si>
  <si>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</si>
  <si>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</si>
  <si>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</si>
  <si>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</si>
  <si>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</si>
  <si>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</si>
  <si>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</si>
  <si>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</si>
  <si>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</si>
  <si>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</si>
  <si>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</si>
  <si>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</si>
  <si>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</si>
  <si>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</si>
  <si>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</si>
  <si>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</si>
  <si>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</si>
  <si>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</si>
  <si>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</si>
  <si>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</si>
  <si>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</si>
  <si>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</si>
  <si>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</si>
  <si>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</si>
  <si>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</si>
  <si>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</si>
  <si>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</si>
  <si>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</si>
  <si>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</si>
  <si>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</si>
  <si>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</si>
  <si>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</si>
  <si>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</si>
  <si>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</si>
  <si>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</si>
  <si>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</si>
  <si>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</si>
  <si>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</si>
  <si>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</si>
  <si>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</si>
  <si>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</si>
  <si>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</si>
  <si>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</si>
  <si>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</si>
  <si>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</si>
  <si>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</si>
  <si>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</si>
  <si>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</si>
  <si>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</si>
  <si>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</si>
  <si>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</si>
  <si>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</si>
  <si>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</si>
  <si>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</si>
  <si>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</si>
  <si>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</si>
  <si>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</si>
  <si>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</si>
  <si>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</si>
  <si>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</si>
  <si>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</si>
  <si>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</si>
  <si>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</si>
  <si>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</si>
  <si>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</si>
  <si>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</si>
  <si>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</si>
  <si>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</si>
  <si>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</si>
  <si>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</si>
  <si>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</si>
  <si>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</si>
  <si>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</si>
  <si>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</si>
  <si>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</si>
  <si>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</si>
  <si>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</si>
  <si>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</si>
  <si>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</si>
  <si>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</si>
  <si>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</si>
  <si>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</si>
  <si>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</si>
  <si>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</si>
  <si>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</si>
  <si>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</si>
  <si>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</si>
  <si>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</si>
  <si>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</si>
  <si>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</si>
  <si>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</si>
  <si>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</si>
  <si>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</si>
  <si>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</si>
  <si>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</si>
  <si>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</si>
  <si>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</si>
  <si>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</si>
  <si>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</si>
  <si>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</si>
  <si>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</si>
  <si>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</si>
  <si>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</si>
  <si>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</si>
  <si>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</si>
  <si>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</si>
  <si>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</si>
  <si>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</si>
  <si>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</si>
  <si>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</si>
  <si>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</si>
  <si>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</si>
  <si>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</si>
  <si>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</si>
  <si>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</si>
  <si>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</si>
  <si>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</si>
  <si>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</si>
  <si>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</si>
  <si>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</si>
  <si>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</si>
  <si>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</si>
  <si>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</si>
  <si>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</si>
  <si>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</si>
  <si>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</si>
  <si>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</si>
  <si>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</si>
  <si>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</si>
  <si>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</si>
  <si>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</si>
  <si>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</si>
  <si>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</si>
  <si>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</si>
  <si>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</si>
  <si>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</si>
  <si>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</si>
  <si>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</si>
  <si>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</si>
  <si>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</si>
  <si>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</si>
  <si>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</si>
  <si>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</si>
  <si>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</si>
  <si>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</si>
  <si>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</si>
  <si>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</si>
  <si>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</si>
  <si>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</si>
  <si>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</si>
  <si>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</si>
  <si>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</si>
  <si>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</si>
  <si>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</si>
  <si>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</si>
  <si>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</si>
  <si>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</si>
  <si>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</si>
  <si>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</si>
  <si>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</si>
  <si>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</si>
  <si>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</si>
  <si>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</si>
  <si>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</si>
  <si>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</si>
  <si>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</si>
  <si>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</si>
  <si>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</si>
  <si>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</si>
  <si>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</si>
  <si>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</si>
  <si>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</si>
  <si>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</si>
  <si>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</si>
  <si>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</si>
  <si>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</si>
  <si>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</si>
  <si>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</si>
  <si>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</si>
  <si>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</si>
  <si>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</si>
  <si>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</si>
  <si>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</si>
  <si>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</si>
  <si>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</si>
  <si>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</si>
  <si>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</si>
  <si>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</si>
  <si>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</si>
  <si>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</si>
  <si>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</si>
  <si>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</si>
  <si>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</si>
  <si>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</si>
  <si>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</si>
  <si>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</si>
  <si>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</si>
  <si>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</si>
  <si>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</si>
  <si>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</si>
  <si>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</si>
  <si>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</si>
  <si>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</si>
  <si>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</si>
  <si>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</si>
  <si>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</si>
  <si>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</si>
  <si>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</si>
  <si>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</si>
  <si>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</si>
  <si>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</si>
  <si>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</si>
  <si>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</si>
  <si>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</si>
  <si>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</si>
  <si>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</si>
  <si>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</si>
  <si>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</si>
  <si>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</si>
  <si>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</si>
  <si>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</si>
  <si>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</si>
  <si>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</si>
  <si>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</si>
  <si>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</si>
  <si>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</si>
  <si>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</si>
  <si>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</si>
  <si>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</si>
  <si>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</si>
  <si>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</si>
  <si>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</si>
  <si>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</si>
  <si>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</si>
  <si>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</si>
  <si>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</si>
  <si>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</si>
  <si>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</si>
  <si>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</si>
  <si>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</si>
  <si>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</si>
  <si>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</si>
  <si>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</si>
  <si>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</si>
  <si>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</si>
  <si>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</si>
  <si>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</si>
  <si>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</si>
  <si>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</si>
  <si>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</si>
  <si>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</si>
  <si>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</si>
  <si>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</si>
  <si>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</si>
  <si>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</si>
  <si>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</si>
  <si>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</si>
  <si>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</si>
  <si>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</si>
  <si>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</si>
  <si>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</si>
  <si>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</si>
  <si>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</si>
  <si>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</si>
  <si>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</si>
  <si>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</si>
  <si>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</si>
  <si>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</si>
  <si>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</si>
  <si>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</si>
  <si>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</si>
  <si>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</si>
  <si>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</si>
  <si>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</si>
  <si>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</si>
  <si>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</si>
  <si>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</si>
  <si>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</si>
  <si>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</si>
  <si>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</si>
  <si>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</si>
  <si>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</si>
  <si>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</si>
  <si>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</si>
  <si>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</si>
  <si>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</si>
  <si>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</si>
  <si>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</si>
  <si>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</si>
  <si>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</si>
  <si>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</si>
  <si>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</si>
  <si>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</si>
  <si>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</si>
  <si>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</si>
  <si>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</si>
  <si>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</si>
  <si>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</si>
  <si>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</si>
  <si>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</si>
  <si>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</si>
  <si>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</si>
  <si>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</si>
  <si>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</si>
  <si>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</si>
  <si>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</si>
  <si>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</si>
  <si>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</si>
  <si>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</si>
  <si>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</si>
  <si>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</si>
  <si>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</si>
  <si>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</si>
  <si>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</si>
  <si>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</si>
  <si>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</si>
  <si>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</si>
  <si>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</si>
  <si>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</si>
  <si>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</si>
  <si>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</si>
  <si>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</si>
  <si>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</si>
  <si>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</si>
  <si>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</si>
  <si>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</si>
  <si>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</si>
  <si>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</si>
  <si>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</si>
  <si>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</si>
  <si>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</si>
  <si>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</si>
  <si>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</si>
  <si>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</si>
  <si>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</si>
  <si>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</si>
  <si>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</si>
  <si>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</si>
  <si>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</si>
  <si>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</si>
  <si>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</si>
  <si>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</si>
  <si>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</si>
  <si>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</si>
  <si>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</si>
  <si>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</si>
  <si>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</si>
  <si>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</si>
  <si>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</si>
  <si>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</si>
  <si>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</si>
  <si>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</si>
  <si>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</si>
  <si>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</si>
  <si>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</si>
  <si>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</si>
  <si>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</si>
  <si>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</si>
  <si>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</si>
  <si>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</si>
  <si>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</si>
  <si>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</si>
  <si>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</si>
  <si>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</si>
  <si>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</si>
  <si>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</si>
  <si>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</si>
  <si>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</si>
  <si>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</si>
  <si>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</si>
  <si>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</si>
  <si>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</si>
  <si>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</si>
  <si>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</si>
  <si>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</si>
  <si>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</si>
  <si>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</si>
  <si>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</si>
  <si>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</si>
  <si>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</si>
  <si>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</si>
  <si>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</si>
  <si>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</si>
  <si>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</si>
  <si>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</si>
  <si>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</si>
  <si>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</si>
  <si>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</si>
  <si>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</si>
  <si>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</si>
  <si>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</si>
  <si>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</si>
  <si>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</si>
  <si>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</si>
  <si>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</si>
  <si>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</si>
  <si>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</si>
  <si>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</si>
  <si>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</si>
  <si>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</si>
  <si>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</si>
  <si>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</si>
  <si>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</si>
  <si>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</si>
  <si>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</si>
  <si>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</si>
  <si>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</si>
  <si>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</si>
  <si>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</si>
  <si>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</si>
  <si>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</si>
  <si>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</si>
  <si>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</si>
  <si>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</si>
  <si>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</si>
  <si>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</si>
  <si>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</si>
  <si>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</si>
  <si>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</si>
  <si>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</si>
  <si>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</si>
  <si>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</si>
  <si>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</si>
  <si>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</si>
  <si>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</si>
  <si>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</si>
  <si>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</si>
  <si>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</si>
  <si>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</si>
  <si>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</si>
  <si>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</si>
  <si>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</si>
  <si>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</si>
  <si>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</si>
  <si>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</si>
  <si>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</si>
  <si>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</si>
  <si>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</si>
  <si>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</si>
  <si>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</si>
  <si>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</si>
  <si>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</si>
  <si>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</si>
  <si>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</si>
  <si>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</si>
  <si>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</si>
  <si>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</si>
  <si>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</si>
  <si>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</si>
  <si>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</si>
  <si>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</si>
  <si>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</si>
  <si>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</si>
  <si>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</si>
  <si>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</si>
  <si>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</si>
  <si>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</si>
  <si>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</si>
  <si>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</si>
  <si>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</si>
  <si>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</si>
  <si>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</si>
  <si>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</si>
  <si>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</si>
  <si>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</si>
  <si>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</si>
  <si>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</si>
  <si>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</si>
  <si>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</si>
  <si>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</si>
  <si>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</si>
  <si>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</si>
  <si>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</si>
  <si>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</si>
  <si>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</si>
  <si>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</si>
  <si>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</si>
  <si>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</si>
  <si>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</si>
  <si>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</si>
  <si>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</si>
  <si>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</si>
  <si>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</si>
  <si>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</si>
  <si>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</si>
  <si>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</si>
  <si>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</si>
  <si>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</si>
  <si>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</si>
  <si>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</si>
  <si>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</si>
  <si>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</si>
  <si>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</si>
  <si>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</si>
  <si>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</si>
  <si>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</si>
  <si>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</si>
  <si>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</si>
  <si>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</si>
  <si>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</si>
  <si>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</si>
  <si>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</si>
  <si>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</si>
  <si>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</si>
  <si>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</si>
  <si>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</si>
  <si>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</si>
  <si>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</si>
  <si>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</si>
  <si>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</si>
  <si>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</si>
  <si>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</si>
  <si>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</si>
  <si>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</si>
  <si>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</si>
  <si>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</si>
  <si>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</si>
  <si>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</si>
  <si>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</si>
  <si>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</si>
  <si>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</si>
  <si>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</si>
  <si>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</si>
  <si>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</si>
  <si>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</si>
  <si>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</si>
  <si>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</si>
  <si>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</si>
  <si>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</si>
  <si>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</si>
  <si>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</si>
  <si>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</si>
  <si>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</si>
  <si>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</si>
  <si>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</si>
  <si>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</si>
  <si>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</si>
  <si>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</si>
  <si>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</si>
  <si>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</si>
  <si>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</si>
  <si>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</si>
  <si>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</si>
  <si>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</si>
  <si>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</si>
  <si>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</si>
  <si>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</si>
  <si>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</si>
  <si>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</si>
  <si>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</si>
  <si>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</si>
  <si>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</si>
  <si>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</si>
  <si>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</si>
  <si>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</si>
  <si>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</si>
  <si>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</si>
  <si>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</si>
  <si>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</si>
  <si>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</si>
  <si>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</si>
  <si>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</si>
  <si>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</si>
  <si>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</si>
  <si>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</si>
  <si>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</si>
  <si>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</si>
  <si>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</si>
  <si>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</si>
  <si>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</si>
  <si>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</si>
  <si>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</si>
  <si>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</si>
  <si>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</si>
  <si>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</si>
  <si>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</si>
  <si>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</si>
  <si>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</si>
  <si>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</si>
  <si>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</si>
  <si>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</si>
  <si>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</si>
  <si>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</si>
  <si>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</si>
  <si>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</si>
  <si>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</si>
  <si>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</si>
  <si>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</si>
  <si>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</si>
  <si>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</si>
  <si>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</si>
  <si>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</si>
  <si>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</si>
  <si>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</si>
  <si>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</si>
  <si>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</si>
  <si>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</si>
  <si>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</si>
  <si>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</si>
  <si>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</si>
  <si>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</si>
  <si>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</si>
  <si>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</si>
  <si>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</si>
  <si>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</si>
  <si>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</si>
  <si>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</si>
  <si>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</si>
  <si>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</si>
  <si>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</si>
  <si>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</si>
  <si>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</si>
  <si>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</si>
  <si>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</si>
  <si>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</si>
  <si>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</si>
  <si>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</si>
  <si>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</si>
  <si>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</si>
  <si>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</si>
  <si>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</si>
  <si>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</si>
  <si>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</si>
  <si>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</si>
  <si>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</si>
  <si>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</si>
  <si>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</si>
  <si>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</si>
  <si>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</si>
  <si>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</si>
  <si>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</si>
  <si>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</si>
  <si>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</si>
  <si>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</si>
  <si>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</si>
  <si>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</si>
  <si>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</si>
  <si>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</si>
  <si>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</si>
  <si>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</si>
  <si>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</si>
  <si>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</si>
  <si>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</si>
  <si>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</si>
  <si>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</si>
  <si>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</si>
  <si>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</si>
  <si>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</si>
  <si>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</si>
  <si>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</si>
  <si>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</si>
  <si>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</si>
  <si>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</si>
  <si>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</si>
  <si>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</si>
  <si>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</si>
  <si>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</si>
  <si>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</si>
  <si>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</si>
  <si>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</si>
  <si>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</si>
  <si>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</si>
  <si>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</si>
  <si>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</si>
  <si>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</si>
  <si>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</si>
  <si>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</si>
  <si>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</si>
  <si>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</si>
  <si>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</si>
  <si>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</si>
  <si>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</si>
  <si>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</si>
  <si>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</si>
  <si>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</si>
  <si>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</si>
  <si>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</si>
  <si>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</si>
  <si>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</si>
  <si>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</si>
  <si>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</si>
  <si>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</si>
  <si>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</si>
  <si>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</si>
  <si>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</si>
  <si>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</si>
  <si>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</si>
  <si>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</si>
  <si>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</si>
  <si>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</si>
  <si>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</si>
  <si>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</si>
  <si>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</si>
  <si>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</si>
  <si>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</si>
  <si>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</si>
  <si>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</si>
  <si>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</si>
  <si>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</si>
  <si>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</si>
  <si>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</si>
  <si>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</si>
  <si>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</si>
  <si>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</si>
  <si>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</si>
  <si>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</si>
  <si>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</si>
  <si>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</si>
  <si>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</si>
  <si>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</si>
  <si>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</si>
  <si>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</si>
  <si>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</si>
  <si>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</si>
  <si>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</si>
  <si>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</si>
  <si>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</si>
  <si>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</si>
  <si>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</si>
  <si>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</si>
  <si>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</si>
  <si>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</si>
  <si>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</si>
  <si>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</si>
  <si>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</si>
  <si>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</si>
  <si>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</si>
  <si>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</si>
  <si>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</si>
  <si>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</si>
  <si>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</si>
  <si>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</si>
  <si>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</si>
  <si>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</si>
  <si>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</si>
  <si>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</si>
  <si>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</si>
  <si>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</si>
  <si>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</si>
  <si>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</si>
  <si>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</si>
  <si>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</si>
  <si>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</si>
  <si>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</si>
  <si>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</si>
  <si>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</si>
  <si>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</si>
  <si>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</si>
  <si>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</si>
  <si>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</si>
  <si>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</si>
  <si>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</si>
  <si>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</si>
  <si>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</si>
  <si>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</si>
  <si>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</si>
  <si>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</si>
  <si>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</si>
  <si>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</si>
  <si>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</si>
  <si>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</si>
  <si>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</si>
  <si>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</si>
  <si>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</si>
  <si>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</si>
  <si>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</si>
  <si>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</si>
  <si>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</si>
  <si>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</si>
  <si>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</si>
  <si>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</si>
  <si>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</si>
  <si>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</si>
  <si>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</si>
  <si>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</si>
  <si>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</si>
  <si>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</si>
  <si>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</si>
  <si>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</si>
  <si>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</si>
  <si>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</si>
  <si>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</si>
  <si>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</si>
  <si>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</si>
  <si>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</si>
  <si>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</si>
  <si>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</si>
  <si>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</si>
  <si>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</si>
  <si>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</si>
  <si>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</si>
  <si>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</si>
  <si>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</si>
  <si>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</si>
  <si>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</si>
  <si>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</si>
  <si>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</si>
  <si>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</si>
  <si>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</si>
  <si>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</si>
  <si>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</si>
  <si>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</si>
  <si>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</si>
  <si>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</si>
  <si>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</si>
  <si>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</si>
  <si>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</si>
  <si>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</si>
  <si>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</si>
  <si>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</si>
  <si>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</si>
  <si>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</si>
  <si>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</si>
  <si>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</si>
  <si>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</si>
  <si>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</si>
  <si>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</si>
  <si>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</si>
  <si>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</si>
  <si>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</si>
  <si>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</si>
  <si>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</si>
  <si>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</si>
  <si>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</si>
  <si>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</si>
  <si>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</si>
  <si>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</si>
  <si>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</si>
  <si>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</si>
  <si>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</si>
  <si>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</si>
  <si>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</si>
  <si>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</si>
  <si>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</si>
  <si>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</si>
  <si>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</si>
  <si>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</si>
  <si>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</si>
  <si>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</si>
  <si>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</si>
  <si>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</si>
  <si>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</si>
  <si>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</si>
  <si>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</si>
  <si>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</si>
  <si>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</si>
  <si>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</si>
  <si>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</si>
  <si>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</si>
  <si>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</si>
  <si>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</si>
  <si>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</si>
  <si>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</si>
  <si>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</si>
  <si>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</si>
  <si>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</si>
  <si>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</si>
  <si>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</si>
  <si>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</si>
  <si>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</si>
  <si>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</si>
  <si>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</si>
  <si>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</si>
  <si>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</si>
  <si>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</si>
  <si>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</si>
  <si>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</si>
  <si>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</si>
  <si>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</si>
  <si>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</si>
  <si>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</si>
  <si>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</si>
  <si>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</si>
  <si>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</si>
  <si>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</si>
  <si>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</si>
  <si>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</si>
  <si>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</si>
  <si>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</si>
  <si>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</si>
  <si>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</si>
  <si>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</si>
  <si>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</si>
  <si>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</si>
  <si>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</si>
  <si>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</si>
  <si>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</si>
  <si>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</si>
  <si>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</si>
  <si>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</si>
  <si>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</si>
  <si>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</si>
  <si>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</si>
  <si>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</si>
  <si>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</si>
  <si>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</si>
  <si>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</si>
  <si>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</si>
  <si>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</si>
  <si>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</si>
  <si>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</si>
  <si>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</si>
  <si>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</si>
  <si>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</si>
  <si>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</si>
  <si>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</si>
  <si>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</si>
  <si>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</si>
  <si>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</si>
  <si>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</si>
  <si>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</si>
  <si>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</si>
  <si>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</si>
  <si>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</si>
  <si>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</si>
  <si>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</si>
  <si>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</si>
  <si>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</si>
  <si>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</si>
  <si>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</si>
  <si>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</si>
  <si>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</si>
  <si>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</si>
  <si>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</si>
  <si>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</si>
  <si>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</si>
  <si>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</si>
  <si>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</si>
  <si>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</si>
  <si>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</si>
  <si>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</si>
  <si>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</si>
  <si>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</si>
  <si>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</si>
  <si>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</si>
  <si>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</si>
  <si>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</si>
  <si>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</si>
  <si>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</si>
  <si>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</si>
  <si>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</si>
  <si>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</si>
  <si>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</si>
  <si>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</si>
  <si>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</si>
  <si>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</si>
  <si>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</si>
  <si>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</si>
  <si>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</si>
  <si>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</si>
  <si>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</si>
  <si>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</si>
  <si>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</si>
  <si>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</si>
  <si>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</si>
  <si>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</si>
  <si>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</si>
  <si>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</si>
  <si>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</si>
  <si>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</si>
  <si>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</si>
  <si>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</si>
  <si>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</si>
  <si>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</si>
  <si>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</si>
  <si>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</si>
  <si>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</si>
  <si>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</si>
  <si>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</si>
  <si>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</si>
  <si>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</si>
  <si>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</si>
  <si>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</si>
  <si>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</si>
  <si>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</si>
  <si>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</si>
  <si>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</si>
  <si>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</si>
  <si>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</si>
  <si>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</si>
  <si>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</si>
  <si>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</si>
  <si>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</si>
  <si>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</si>
  <si>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</si>
  <si>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</si>
  <si>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</si>
  <si>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</si>
  <si>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</si>
  <si>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</si>
  <si>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</si>
  <si>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</si>
  <si>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</si>
  <si>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</si>
  <si>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</si>
  <si>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</si>
  <si>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</si>
  <si>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</si>
  <si>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</si>
  <si>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</si>
  <si>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</si>
  <si>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</si>
  <si>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</si>
  <si>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</si>
  <si>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</si>
  <si>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</si>
  <si>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</si>
  <si>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</si>
  <si>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</si>
  <si>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</si>
  <si>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</si>
  <si>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</si>
  <si>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</si>
  <si>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</si>
  <si>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</si>
  <si>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</si>
  <si>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</si>
  <si>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</si>
  <si>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</si>
  <si>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</si>
  <si>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</si>
  <si>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</si>
  <si>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</si>
  <si>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</si>
  <si>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</si>
  <si>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</si>
  <si>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</si>
  <si>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</si>
  <si>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</si>
  <si>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</si>
  <si>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</si>
  <si>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</si>
  <si>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</si>
  <si>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</si>
  <si>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</si>
  <si>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</si>
  <si>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</si>
  <si>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</si>
  <si>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</si>
  <si>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</si>
  <si>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</si>
  <si>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</si>
  <si>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</si>
  <si>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</si>
  <si>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</si>
  <si>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</si>
  <si>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</si>
  <si>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</si>
  <si>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</si>
  <si>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</si>
  <si>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</si>
  <si>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</si>
  <si>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</si>
  <si>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</si>
  <si>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</si>
  <si>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</si>
  <si>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</si>
  <si>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</si>
  <si>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</si>
  <si>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</si>
  <si>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</si>
  <si>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</si>
  <si>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</si>
  <si>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</si>
  <si>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</si>
  <si>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</si>
  <si>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</si>
  <si>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</si>
  <si>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</si>
  <si>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</si>
  <si>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</si>
  <si>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</si>
  <si>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</si>
  <si>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</si>
  <si>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</si>
  <si>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</si>
  <si>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</si>
  <si>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</si>
  <si>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</si>
  <si>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</si>
  <si>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</si>
  <si>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</si>
  <si>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</si>
  <si>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</si>
  <si>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</si>
  <si>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</si>
  <si>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</si>
  <si>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</si>
  <si>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</si>
  <si>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</si>
  <si>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</si>
  <si>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</si>
  <si>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</si>
  <si>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</si>
  <si>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</si>
  <si>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</si>
  <si>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</si>
  <si>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</si>
  <si>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</si>
  <si>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</si>
  <si>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</si>
  <si>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</si>
  <si>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</si>
  <si>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</si>
  <si>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</si>
  <si>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</si>
  <si>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</si>
  <si>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</si>
  <si>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</si>
  <si>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</si>
  <si>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</si>
  <si>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</si>
  <si>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</si>
  <si>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</si>
  <si>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</si>
  <si>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</si>
  <si>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</si>
  <si>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</si>
  <si>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</si>
  <si>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</si>
  <si>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</si>
  <si>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</si>
  <si>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</si>
  <si>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</si>
  <si>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</si>
  <si>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</si>
  <si>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</si>
  <si>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</si>
  <si>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</si>
  <si>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</si>
  <si>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</si>
  <si>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</si>
  <si>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</si>
  <si>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</si>
  <si>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</si>
  <si>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</si>
  <si>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</si>
  <si>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</si>
  <si>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</si>
  <si>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</si>
  <si>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</si>
  <si>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</si>
  <si>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</si>
  <si>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</si>
  <si>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</si>
  <si>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</si>
  <si>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</si>
  <si>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</si>
  <si>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</si>
  <si>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</si>
  <si>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</si>
  <si>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</si>
  <si>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</si>
  <si>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</si>
  <si>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</si>
  <si>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</si>
  <si>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</si>
  <si>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</si>
  <si>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</si>
  <si>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</si>
  <si>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</si>
  <si>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</si>
  <si>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</si>
  <si>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</si>
  <si>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</si>
  <si>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</si>
  <si>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</si>
  <si>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</si>
  <si>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</si>
  <si>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</si>
  <si>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</si>
  <si>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</si>
  <si>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</si>
  <si>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</si>
  <si>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</si>
  <si>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</si>
  <si>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</si>
  <si>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</si>
  <si>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</si>
  <si>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</si>
  <si>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</si>
  <si>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</si>
  <si>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</si>
  <si>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</si>
  <si>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</si>
  <si>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</si>
  <si>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</si>
  <si>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</si>
  <si>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</si>
  <si>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</si>
  <si>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</si>
  <si>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</si>
  <si>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</si>
  <si>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</si>
  <si>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</si>
  <si>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</si>
  <si>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</si>
  <si>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</si>
  <si>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</si>
  <si>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</si>
  <si>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</si>
  <si>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</si>
  <si>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</si>
  <si>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</si>
  <si>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</si>
  <si>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</si>
  <si>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</si>
  <si>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</si>
  <si>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</si>
  <si>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</si>
  <si>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</si>
  <si>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</si>
  <si>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</si>
  <si>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</si>
  <si>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</si>
  <si>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</si>
  <si>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</si>
  <si>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</si>
  <si>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</si>
  <si>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</si>
  <si>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</si>
  <si>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</si>
  <si>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</si>
  <si>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</si>
  <si>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</si>
  <si>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</si>
  <si>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</si>
  <si>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</si>
  <si>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</si>
  <si>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</si>
  <si>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</si>
  <si>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</si>
  <si>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</si>
  <si>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</si>
  <si>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</si>
  <si>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</si>
  <si>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</si>
  <si>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</si>
  <si>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</si>
  <si>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</si>
  <si>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</si>
  <si>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</si>
  <si>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</si>
  <si>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</si>
  <si>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</si>
  <si>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</si>
  <si>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</si>
  <si>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</si>
  <si>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</si>
  <si>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</si>
  <si>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</si>
  <si>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</si>
  <si>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</si>
  <si>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</si>
  <si>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</si>
  <si>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</si>
  <si>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</si>
  <si>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</si>
  <si>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</si>
  <si>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</si>
  <si>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</si>
  <si>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</si>
  <si>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</si>
  <si>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</si>
  <si>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</si>
  <si>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</si>
  <si>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</si>
  <si>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</si>
  <si>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</si>
  <si>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</si>
  <si>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</si>
  <si>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</si>
  <si>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</si>
  <si>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</si>
  <si>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</si>
  <si>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</si>
  <si>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</si>
  <si>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</si>
  <si>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</si>
  <si>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</si>
  <si>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</si>
  <si>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</si>
  <si>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</si>
  <si>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</si>
  <si>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</si>
  <si>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</si>
  <si>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</si>
  <si>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</si>
  <si>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</si>
  <si>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</si>
  <si>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</si>
  <si>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</si>
  <si>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</si>
  <si>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</si>
  <si>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</si>
  <si>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</si>
  <si>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</si>
  <si>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</si>
  <si>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</si>
  <si>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</si>
  <si>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</si>
  <si>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</si>
  <si>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</si>
  <si>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</si>
  <si>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</si>
  <si>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</si>
  <si>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</si>
  <si>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</si>
  <si>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</si>
  <si>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</si>
  <si>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</si>
  <si>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</si>
  <si>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</si>
  <si>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</si>
  <si>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</si>
  <si>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</si>
  <si>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</si>
  <si>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</si>
  <si>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</si>
  <si>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</si>
  <si>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</si>
  <si>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</si>
  <si>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</si>
  <si>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</si>
  <si>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</si>
  <si>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</si>
  <si>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</si>
  <si>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</si>
  <si>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</si>
  <si>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</si>
  <si>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</si>
  <si>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</si>
  <si>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</si>
  <si>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</si>
  <si>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</si>
  <si>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</si>
  <si>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</si>
  <si>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</si>
  <si>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</si>
  <si>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</si>
  <si>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</si>
  <si>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</si>
  <si>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</si>
  <si>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</si>
  <si>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</si>
  <si>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</si>
  <si>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</si>
  <si>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</si>
  <si>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</si>
  <si>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</si>
  <si>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</si>
  <si>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</si>
  <si>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</si>
  <si>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</si>
  <si>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</si>
  <si>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</si>
  <si>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</si>
  <si>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</si>
  <si>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</si>
  <si>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</si>
  <si>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</si>
  <si>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</si>
  <si>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</si>
  <si>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</si>
  <si>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</si>
  <si>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</si>
  <si>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</si>
  <si>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</si>
  <si>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</si>
  <si>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</si>
  <si>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</si>
  <si>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</si>
  <si>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</si>
  <si>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</si>
  <si>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</si>
  <si>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</si>
  <si>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</si>
  <si>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</si>
  <si>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</si>
  <si>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</si>
  <si>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</si>
  <si>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</si>
  <si>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</si>
  <si>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</si>
  <si>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</si>
  <si>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</si>
  <si>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</si>
  <si>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</si>
  <si>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</si>
  <si>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</si>
  <si>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</si>
  <si>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</si>
  <si>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</si>
  <si>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</si>
  <si>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</si>
  <si>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</si>
  <si>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</si>
  <si>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</si>
  <si>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</si>
  <si>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</si>
  <si>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</si>
  <si>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</si>
  <si>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</si>
  <si>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</si>
  <si>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</si>
  <si>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</si>
  <si>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</si>
  <si>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</si>
  <si>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</si>
  <si>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</si>
  <si>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</si>
  <si>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</si>
  <si>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</si>
  <si>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</si>
  <si>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</si>
  <si>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</si>
  <si>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</si>
  <si>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</si>
  <si>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</si>
  <si>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</si>
  <si>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</si>
  <si>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</si>
  <si>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</si>
  <si>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</si>
  <si>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</si>
  <si>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</si>
  <si>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</si>
  <si>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</si>
  <si>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</si>
  <si>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</si>
  <si>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</si>
  <si>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</si>
  <si>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</si>
  <si>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</si>
  <si>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</si>
  <si>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</si>
  <si>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</si>
  <si>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</si>
  <si>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</si>
  <si>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</si>
  <si>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</si>
  <si>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</si>
  <si>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</si>
  <si>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</si>
  <si>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</si>
  <si>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</si>
  <si>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</si>
  <si>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</si>
  <si>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</si>
  <si>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</si>
  <si>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</si>
  <si>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</si>
  <si>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</si>
  <si>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</si>
  <si>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</si>
  <si>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</si>
  <si>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</si>
  <si>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</si>
  <si>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</si>
  <si>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</si>
  <si>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</si>
  <si>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</si>
  <si>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</si>
  <si>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</si>
  <si>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</si>
  <si>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</si>
  <si>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</si>
  <si>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</si>
  <si>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</si>
  <si>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</si>
  <si>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</si>
  <si>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</si>
  <si>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</si>
  <si>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</si>
  <si>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</si>
  <si>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</si>
  <si>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</si>
  <si>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</si>
  <si>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</si>
  <si>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</si>
  <si>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</si>
  <si>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</si>
  <si>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</si>
  <si>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</si>
  <si>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</si>
  <si>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</si>
  <si>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</si>
  <si>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</si>
  <si>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</si>
  <si>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</si>
  <si>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</si>
  <si>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</si>
  <si>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</si>
  <si>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</si>
  <si>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</si>
  <si>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</si>
  <si>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</si>
  <si>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</si>
  <si>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</si>
  <si>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</si>
  <si>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</si>
  <si>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</si>
  <si>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</si>
  <si>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</si>
  <si>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</si>
  <si>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</si>
  <si>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</si>
  <si>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</si>
  <si>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</si>
  <si>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</si>
  <si>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</si>
  <si>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</si>
  <si>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</si>
  <si>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</si>
  <si>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</si>
  <si>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</si>
  <si>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</si>
  <si>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</si>
  <si>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</si>
  <si>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</si>
  <si>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</si>
  <si>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</si>
  <si>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</si>
  <si>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</si>
  <si>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</si>
  <si>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</si>
  <si>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</si>
  <si>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</si>
  <si>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</si>
  <si>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</si>
  <si>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</si>
  <si>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</si>
  <si>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</si>
  <si>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</si>
  <si>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</si>
  <si>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</si>
  <si>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</si>
  <si>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</si>
  <si>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</si>
  <si>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</si>
  <si>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</si>
  <si>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</si>
  <si>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</si>
  <si>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</si>
  <si>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</si>
  <si>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</si>
  <si>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</si>
  <si>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</si>
  <si>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</si>
  <si>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</si>
  <si>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</si>
  <si>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</si>
  <si>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</si>
  <si>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</si>
  <si>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</si>
  <si>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</si>
  <si>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</si>
  <si>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</si>
  <si>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</si>
  <si>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</si>
  <si>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</si>
  <si>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</si>
  <si>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</si>
  <si>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</si>
  <si>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</si>
  <si>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</si>
  <si>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</si>
  <si>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</si>
  <si>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</si>
  <si>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</si>
  <si>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</si>
  <si>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</si>
  <si>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</si>
  <si>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</si>
  <si>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</si>
  <si>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</si>
  <si>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</si>
  <si>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</si>
  <si>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</si>
  <si>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</si>
  <si>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</si>
  <si>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</si>
  <si>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</si>
  <si>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</si>
  <si>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</si>
  <si>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</si>
  <si>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</si>
  <si>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</si>
  <si>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</si>
  <si>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</si>
  <si>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</si>
  <si>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</si>
  <si>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</si>
  <si>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</si>
  <si>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</si>
  <si>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</si>
  <si>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</si>
  <si>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</si>
  <si>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</si>
  <si>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</si>
  <si>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</si>
  <si>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</si>
  <si>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</si>
  <si>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</si>
  <si>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</si>
  <si>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</si>
  <si>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</si>
  <si>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</si>
  <si>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</si>
  <si>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</si>
  <si>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</si>
  <si>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</si>
  <si>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</si>
  <si>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</si>
  <si>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</si>
  <si>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</si>
  <si>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</si>
  <si>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</si>
  <si>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</si>
  <si>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</si>
  <si>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</si>
  <si>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</si>
  <si>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</si>
  <si>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</si>
  <si>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</si>
  <si>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</si>
  <si>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</si>
  <si>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</si>
  <si>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</si>
  <si>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</si>
  <si>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</si>
  <si>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</si>
  <si>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</si>
  <si>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</si>
  <si>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</si>
  <si>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</si>
  <si>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</si>
  <si>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</si>
  <si>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</si>
  <si>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</si>
  <si>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</si>
  <si>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</si>
  <si>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</si>
  <si>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</si>
  <si>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</si>
  <si>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</si>
  <si>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</si>
  <si>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</si>
  <si>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</si>
  <si>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</si>
  <si>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</si>
  <si>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</si>
  <si>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</si>
  <si>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</si>
  <si>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</si>
  <si>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</si>
  <si>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</si>
  <si>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</si>
  <si>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</si>
  <si>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</si>
  <si>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</si>
  <si>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</si>
  <si>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</si>
  <si>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</si>
  <si>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</si>
  <si>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</si>
  <si>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</si>
  <si>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</si>
  <si>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</si>
  <si>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</si>
  <si>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</si>
  <si>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</si>
  <si>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</si>
  <si>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</si>
  <si>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</si>
  <si>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</si>
  <si>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</si>
  <si>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</si>
  <si>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</si>
  <si>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</si>
  <si>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</si>
  <si>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</si>
  <si>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</si>
  <si>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</si>
  <si>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</si>
  <si>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</si>
  <si>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</si>
  <si>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</si>
  <si>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</si>
  <si>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</si>
  <si>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</si>
  <si>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</si>
  <si>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</si>
  <si>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</si>
  <si>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</si>
  <si>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</si>
  <si>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</si>
  <si>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</si>
  <si>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</si>
  <si>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</si>
  <si>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</si>
  <si>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</si>
  <si>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</si>
  <si>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</si>
  <si>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</si>
  <si>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</si>
  <si>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</si>
  <si>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</si>
  <si>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</si>
  <si>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</si>
  <si>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</si>
  <si>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</si>
  <si>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</si>
  <si>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</si>
  <si>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</si>
  <si>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</si>
  <si>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</si>
  <si>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</si>
  <si>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</si>
  <si>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</si>
  <si>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</si>
  <si>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</si>
  <si>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</si>
  <si>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</si>
  <si>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</si>
  <si>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</si>
  <si>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</si>
  <si>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</si>
  <si>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</si>
  <si>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</si>
  <si>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</si>
  <si>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</si>
  <si>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</si>
  <si>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</si>
  <si>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</si>
  <si>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</si>
  <si>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</si>
  <si>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</si>
  <si>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</si>
  <si>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</si>
  <si>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</si>
  <si>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</si>
  <si>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</si>
  <si>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</si>
  <si>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</si>
  <si>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</si>
  <si>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</si>
  <si>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</si>
  <si>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</si>
  <si>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</si>
  <si>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</si>
  <si>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</si>
  <si>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</si>
  <si>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</si>
  <si>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</si>
  <si>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</si>
  <si>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</si>
  <si>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</si>
  <si>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</si>
  <si>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</si>
  <si>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</si>
  <si>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</si>
  <si>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</si>
  <si>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</si>
  <si>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</si>
  <si>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</si>
  <si>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</si>
  <si>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</si>
  <si>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</si>
  <si>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</si>
  <si>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</si>
  <si>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</si>
  <si>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</si>
  <si>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</si>
  <si>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</si>
  <si>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</si>
  <si>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</si>
  <si>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</si>
  <si>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</si>
  <si>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</si>
  <si>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</si>
  <si>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</si>
  <si>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</si>
  <si>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</si>
  <si>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</si>
  <si>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</si>
  <si>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</si>
  <si>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</si>
  <si>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</si>
  <si>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</si>
  <si>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</si>
  <si>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</si>
  <si>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</si>
  <si>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</si>
  <si>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</si>
  <si>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</si>
  <si>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</si>
  <si>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</si>
  <si>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</si>
  <si>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</si>
  <si>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</si>
  <si>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</si>
  <si>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</si>
  <si>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</si>
  <si>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</si>
  <si>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</si>
  <si>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</si>
  <si>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</si>
  <si>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</si>
  <si>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</si>
  <si>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</si>
  <si>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</si>
  <si>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</si>
  <si>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</si>
  <si>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</si>
  <si>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</si>
  <si>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</si>
  <si>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</si>
  <si>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</si>
  <si>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</si>
  <si>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</si>
  <si>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</si>
  <si>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</si>
  <si>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</si>
  <si>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</si>
  <si>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</si>
  <si>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</si>
  <si>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</si>
  <si>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</si>
  <si>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</si>
  <si>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</si>
  <si>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</si>
  <si>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</si>
  <si>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</si>
  <si>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</si>
  <si>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</si>
  <si>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</si>
  <si>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</si>
  <si>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</si>
  <si>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</si>
  <si>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</si>
  <si>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</si>
  <si>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</si>
  <si>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</si>
  <si>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</si>
  <si>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</si>
  <si>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</si>
  <si>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</si>
  <si>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</si>
  <si>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</si>
  <si>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</si>
  <si>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</si>
  <si>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</si>
  <si>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</si>
  <si>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</si>
  <si>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</si>
  <si>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</si>
  <si>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</si>
  <si>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</si>
  <si>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</si>
  <si>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</si>
  <si>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</si>
  <si>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</si>
  <si>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</si>
  <si>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</si>
  <si>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</si>
  <si>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</si>
  <si>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</si>
  <si>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</si>
  <si>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</si>
  <si>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</si>
  <si>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</si>
  <si>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</si>
  <si>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</si>
  <si>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</si>
  <si>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</si>
  <si>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</si>
  <si>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</si>
  <si>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</si>
  <si>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</si>
  <si>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</si>
  <si>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</si>
  <si>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</si>
  <si>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</si>
  <si>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</si>
  <si>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</si>
  <si>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</si>
  <si>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</si>
  <si>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</si>
  <si>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</si>
  <si>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</si>
  <si>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</si>
  <si>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</si>
  <si>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</si>
  <si>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</si>
  <si>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</si>
  <si>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</si>
  <si>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</si>
  <si>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</si>
  <si>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</si>
  <si>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</si>
  <si>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</si>
  <si>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</si>
  <si>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</si>
  <si>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</si>
  <si>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</si>
  <si>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</si>
  <si>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</si>
  <si>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</si>
  <si>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</si>
  <si>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</si>
  <si>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</si>
  <si>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</si>
  <si>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</si>
  <si>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</si>
  <si>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</si>
  <si>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</si>
  <si>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</si>
  <si>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</si>
  <si>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</si>
  <si>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</si>
  <si>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</si>
  <si>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</si>
  <si>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</si>
  <si>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</si>
  <si>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</si>
  <si>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</si>
  <si>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</si>
  <si>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</si>
  <si>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</si>
  <si>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</si>
  <si>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</si>
  <si>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</si>
  <si>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</si>
  <si>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</si>
  <si>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</si>
  <si>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</si>
  <si>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</si>
  <si>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</si>
  <si>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</si>
  <si>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</si>
  <si>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</si>
  <si>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</si>
  <si>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</si>
  <si>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</si>
  <si>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</si>
  <si>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</si>
  <si>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</si>
  <si>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</si>
  <si>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</si>
  <si>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</si>
  <si>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</si>
  <si>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</si>
  <si>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</si>
  <si>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</si>
  <si>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</si>
  <si>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</si>
  <si>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</si>
  <si>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</si>
  <si>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</si>
  <si>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</si>
  <si>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</si>
  <si>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</si>
  <si>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</si>
  <si>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</si>
  <si>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</si>
  <si>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</si>
  <si>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</si>
  <si>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</si>
  <si>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</si>
  <si>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</si>
  <si>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</si>
  <si>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</si>
  <si>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</si>
  <si>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</si>
  <si>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</si>
  <si>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</si>
  <si>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</si>
  <si>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</si>
  <si>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</si>
  <si>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</si>
  <si>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</si>
  <si>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</si>
  <si>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</si>
  <si>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</si>
  <si>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</si>
  <si>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</si>
  <si>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</si>
  <si>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</si>
  <si>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</si>
  <si>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</si>
  <si>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</si>
  <si>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</si>
  <si>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</si>
  <si>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</si>
  <si>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</si>
  <si>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</si>
  <si>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</si>
  <si>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</si>
  <si>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</si>
  <si>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</si>
  <si>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</si>
  <si>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</si>
  <si>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</si>
  <si>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</si>
  <si>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</si>
  <si>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</si>
  <si>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</si>
  <si>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</si>
  <si>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</si>
  <si>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</si>
  <si>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</si>
  <si>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</si>
  <si>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</si>
  <si>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</si>
  <si>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</si>
  <si>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</si>
  <si>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</si>
  <si>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</si>
  <si>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</si>
  <si>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</si>
  <si>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</si>
  <si>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</si>
  <si>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</si>
  <si>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</si>
  <si>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</si>
  <si>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</si>
  <si>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</si>
  <si>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</si>
  <si>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</si>
  <si>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</si>
  <si>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</si>
  <si>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</si>
  <si>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</si>
  <si>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</si>
  <si>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</si>
  <si>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</si>
  <si>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</si>
  <si>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</si>
  <si>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</si>
  <si>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</si>
  <si>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</si>
  <si>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</si>
  <si>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</si>
  <si>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</si>
  <si>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</si>
  <si>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</si>
  <si>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</si>
  <si>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</si>
  <si>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</si>
  <si>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</si>
  <si>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</si>
  <si>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</si>
  <si>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</si>
  <si>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</si>
  <si>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</si>
  <si>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</si>
  <si>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</si>
  <si>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</si>
  <si>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</si>
  <si>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</si>
  <si>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</si>
  <si>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</si>
  <si>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</si>
  <si>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</si>
  <si>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</si>
  <si>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</si>
  <si>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</si>
  <si>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</si>
  <si>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</si>
  <si>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</si>
  <si>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</si>
  <si>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</si>
  <si>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</si>
  <si>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</si>
  <si>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</si>
  <si>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</si>
  <si>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</si>
  <si>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</si>
  <si>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</si>
  <si>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</si>
  <si>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</si>
  <si>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</si>
  <si>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</si>
  <si>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</si>
  <si>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</si>
  <si>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</si>
  <si>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</si>
  <si>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</si>
  <si>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</si>
  <si>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</si>
  <si>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</si>
  <si>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</si>
  <si>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</si>
  <si>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</si>
  <si>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</si>
  <si>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</si>
  <si>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</si>
  <si>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</si>
  <si>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</si>
  <si>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</si>
  <si>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</si>
  <si>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</si>
  <si>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</si>
  <si>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</si>
  <si>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</si>
  <si>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</si>
  <si>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</si>
  <si>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</si>
  <si>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</si>
  <si>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</si>
  <si>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</si>
  <si>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</si>
  <si>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</si>
  <si>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</si>
  <si>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</si>
  <si>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</si>
  <si>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</si>
  <si>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</si>
  <si>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</si>
  <si>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</si>
  <si>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</si>
  <si>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</si>
  <si>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</si>
  <si>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</si>
  <si>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</si>
  <si>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</si>
  <si>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</si>
  <si>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</si>
  <si>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</si>
  <si>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</si>
  <si>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</si>
  <si>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</si>
  <si>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</si>
  <si>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</si>
  <si>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</si>
  <si>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</si>
  <si>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</si>
  <si>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</si>
  <si>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</si>
  <si>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</si>
  <si>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</si>
  <si>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</si>
  <si>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</si>
  <si>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</si>
  <si>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</si>
  <si>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</si>
  <si>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</si>
  <si>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</si>
  <si>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</si>
  <si>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</si>
  <si>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</si>
  <si>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</si>
  <si>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</si>
  <si>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</si>
  <si>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</si>
  <si>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</si>
  <si>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</si>
  <si>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</si>
  <si>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</si>
  <si>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</si>
  <si>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</si>
  <si>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</si>
  <si>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</si>
  <si>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</si>
  <si>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</si>
  <si>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</si>
  <si>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</si>
  <si>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</si>
  <si>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</si>
  <si>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</si>
  <si>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</si>
  <si>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</si>
  <si>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</si>
  <si>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</si>
  <si>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</si>
  <si>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</si>
  <si>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</si>
  <si>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</si>
  <si>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</si>
  <si>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</si>
  <si>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</si>
  <si>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</si>
  <si>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</si>
  <si>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</si>
  <si>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</si>
  <si>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</si>
  <si>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</si>
  <si>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</si>
  <si>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</si>
  <si>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</si>
  <si>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</si>
  <si>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</si>
  <si>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</si>
  <si>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</si>
  <si>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</si>
  <si>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</si>
  <si>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</si>
  <si>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</si>
  <si>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</si>
  <si>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</si>
  <si>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</si>
  <si>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</si>
  <si>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</si>
  <si>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</si>
  <si>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</si>
  <si>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</si>
  <si>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</si>
  <si>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</si>
  <si>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</si>
  <si>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</si>
  <si>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</si>
  <si>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</si>
  <si>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</si>
  <si>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</si>
  <si>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</si>
  <si>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</si>
  <si>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</si>
  <si>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</si>
  <si>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</si>
  <si>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</si>
  <si>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</si>
  <si>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</si>
  <si>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</si>
  <si>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</si>
  <si>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</si>
  <si>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</si>
  <si>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</si>
  <si>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</si>
  <si>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</si>
  <si>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</si>
  <si>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</si>
  <si>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</si>
  <si>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</si>
  <si>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</si>
  <si>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</si>
  <si>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</si>
  <si>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</si>
  <si>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</si>
  <si>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</si>
  <si>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</si>
  <si>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</si>
  <si>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</si>
  <si>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</si>
  <si>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</si>
  <si>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</si>
  <si>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</si>
  <si>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</si>
  <si>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</si>
  <si>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</si>
  <si>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</si>
  <si>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</si>
  <si>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</si>
  <si>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</si>
  <si>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</si>
  <si>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</si>
  <si>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</si>
  <si>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</si>
  <si>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</si>
  <si>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</si>
  <si>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</si>
  <si>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</si>
  <si>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</si>
  <si>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</si>
  <si>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</si>
  <si>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</si>
  <si>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</si>
  <si>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</si>
  <si>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</si>
  <si>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</si>
  <si>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</si>
  <si>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</si>
  <si>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</si>
  <si>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</si>
  <si>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</si>
  <si>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</si>
  <si>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</si>
  <si>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</si>
  <si>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</si>
  <si>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</si>
  <si>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</si>
  <si>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</si>
  <si>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</si>
  <si>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</si>
  <si>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</si>
  <si>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</si>
  <si>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</si>
  <si>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</si>
  <si>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</si>
  <si>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</si>
  <si>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</si>
  <si>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</si>
  <si>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</si>
  <si>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</si>
  <si>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</si>
  <si>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</si>
  <si>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</si>
  <si>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</si>
  <si>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</si>
  <si>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</si>
  <si>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</si>
  <si>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</si>
  <si>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</si>
  <si>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</si>
  <si>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</si>
  <si>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</si>
  <si>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</si>
  <si>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</si>
  <si>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</si>
  <si>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</si>
  <si>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</si>
  <si>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</si>
  <si>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</si>
  <si>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</si>
  <si>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</si>
  <si>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</si>
  <si>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</si>
  <si>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</si>
  <si>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</si>
  <si>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</si>
  <si>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</si>
  <si>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</si>
  <si>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</si>
  <si>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</si>
  <si>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</si>
  <si>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</si>
  <si>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</si>
  <si>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</si>
  <si>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</si>
  <si>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</si>
  <si>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</si>
  <si>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</si>
  <si>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</si>
  <si>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</si>
  <si>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</si>
  <si>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</si>
  <si>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</si>
  <si>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</si>
  <si>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</si>
  <si>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</si>
  <si>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</si>
  <si>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</si>
  <si>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</si>
  <si>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</si>
  <si>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</si>
  <si>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</si>
  <si>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</si>
  <si>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</si>
  <si>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</si>
  <si>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</si>
  <si>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</si>
  <si>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</si>
  <si>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</si>
  <si>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</si>
  <si>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</si>
  <si>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</si>
  <si>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</si>
  <si>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</si>
  <si>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</si>
  <si>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</si>
  <si>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</si>
  <si>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</si>
  <si>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</si>
  <si>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</si>
  <si>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</si>
  <si>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</si>
  <si>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</si>
  <si>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</si>
  <si>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</si>
  <si>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</si>
  <si>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</si>
  <si>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</si>
  <si>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</si>
  <si>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</si>
  <si>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</si>
  <si>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</si>
  <si>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</si>
  <si>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</si>
  <si>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</si>
  <si>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</si>
  <si>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</si>
  <si>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</si>
  <si>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</si>
  <si>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</si>
  <si>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</si>
  <si>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</si>
  <si>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</si>
  <si>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</si>
  <si>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</si>
  <si>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</si>
  <si>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</si>
  <si>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</si>
  <si>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</si>
  <si>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</si>
  <si>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</si>
  <si>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</si>
  <si>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</si>
  <si>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</si>
  <si>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</si>
  <si>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</si>
  <si>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</si>
  <si>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</si>
  <si>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</si>
  <si>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</si>
  <si>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</si>
  <si>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</si>
  <si>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</si>
  <si>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</si>
  <si>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</si>
  <si>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</si>
  <si>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</si>
  <si>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</si>
  <si>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</si>
  <si>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</si>
  <si>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</si>
  <si>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</si>
  <si>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</si>
  <si>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</si>
  <si>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</si>
  <si>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</si>
  <si>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</si>
  <si>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</si>
  <si>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</si>
  <si>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</si>
  <si>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</si>
  <si>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</si>
  <si>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</si>
  <si>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</si>
  <si>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</si>
  <si>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</si>
  <si>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</si>
  <si>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</si>
  <si>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</si>
  <si>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</si>
  <si>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</si>
  <si>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</si>
  <si>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</si>
  <si>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</si>
  <si>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</si>
  <si>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</si>
  <si>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</si>
  <si>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</si>
  <si>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</si>
  <si>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</si>
  <si>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</si>
  <si>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</si>
  <si>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</si>
  <si>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</si>
  <si>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</si>
  <si>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</si>
  <si>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</si>
  <si>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</si>
  <si>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</si>
  <si>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</si>
  <si>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</si>
  <si>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</si>
  <si>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</si>
  <si>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</si>
  <si>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</si>
  <si>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</si>
  <si>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</si>
  <si>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</si>
  <si>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</si>
  <si>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</si>
  <si>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</si>
  <si>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</si>
  <si>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</si>
  <si>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</si>
  <si>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</si>
  <si>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</si>
  <si>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</si>
  <si>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</si>
  <si>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</si>
  <si>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</si>
  <si>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</si>
  <si>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</si>
  <si>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</si>
  <si>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</si>
  <si>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</si>
  <si>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</si>
  <si>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</si>
  <si>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</si>
  <si>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</si>
  <si>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</si>
  <si>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</si>
  <si>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</si>
  <si>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</si>
  <si>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</si>
  <si>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</si>
  <si>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</si>
  <si>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</si>
  <si>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</si>
  <si>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</si>
  <si>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</si>
  <si>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</si>
  <si>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</si>
  <si>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</si>
  <si>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</si>
  <si>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</si>
  <si>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</si>
  <si>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</si>
  <si>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</si>
  <si>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</si>
  <si>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</si>
  <si>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</si>
  <si>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</si>
  <si>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</si>
  <si>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</si>
  <si>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</si>
  <si>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</si>
  <si>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</si>
  <si>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</si>
  <si>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</si>
  <si>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</si>
  <si>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</si>
  <si>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</si>
  <si>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</si>
  <si>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</si>
  <si>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</si>
  <si>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</si>
  <si>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</si>
  <si>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</si>
  <si>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</si>
  <si>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</si>
  <si>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</si>
  <si>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</si>
  <si>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</si>
  <si>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</si>
  <si>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</si>
  <si>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</si>
  <si>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</si>
  <si>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</si>
  <si>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</si>
  <si>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</si>
  <si>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</si>
  <si>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</si>
  <si>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</si>
  <si>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</si>
  <si>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</si>
  <si>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</si>
  <si>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</si>
  <si>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</si>
  <si>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</si>
  <si>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</si>
  <si>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</si>
  <si>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</si>
  <si>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</si>
  <si>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</si>
  <si>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</si>
  <si>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</si>
  <si>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</si>
  <si>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</si>
  <si>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</si>
  <si>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</si>
  <si>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</si>
  <si>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</si>
  <si>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</si>
  <si>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</si>
  <si>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</si>
  <si>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</si>
  <si>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</si>
  <si>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</si>
  <si>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</si>
  <si>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</si>
  <si>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</si>
  <si>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</si>
  <si>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</si>
  <si>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</si>
  <si>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</si>
  <si>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</si>
  <si>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</si>
  <si>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</si>
  <si>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</si>
  <si>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</si>
  <si>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</si>
  <si>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</si>
  <si>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</si>
  <si>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</si>
  <si>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</si>
  <si>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</si>
  <si>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</si>
  <si>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</si>
  <si>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</si>
  <si>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</si>
  <si>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</si>
  <si>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</si>
  <si>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</si>
  <si>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</si>
  <si>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</si>
  <si>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</si>
  <si>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</si>
  <si>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</si>
  <si>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</si>
  <si>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</si>
  <si>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</si>
  <si>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</si>
  <si>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</si>
  <si>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</si>
  <si>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</si>
  <si>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</si>
  <si>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</si>
  <si>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</si>
  <si>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</si>
  <si>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</si>
  <si>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</si>
  <si>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</si>
  <si>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</si>
  <si>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</si>
  <si>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</si>
  <si>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</si>
  <si>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</si>
  <si>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</si>
  <si>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</si>
  <si>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</si>
  <si>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</si>
  <si>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</si>
  <si>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</si>
  <si>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</si>
  <si>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</si>
  <si>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</si>
  <si>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</si>
  <si>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</si>
  <si>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</si>
  <si>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</si>
  <si>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</si>
  <si>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</si>
  <si>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</si>
  <si>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</si>
  <si>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</si>
  <si>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</si>
  <si>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</si>
  <si>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</si>
  <si>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</si>
  <si>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</si>
  <si>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</si>
  <si>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</si>
  <si>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</si>
  <si>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</si>
  <si>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</si>
  <si>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</si>
  <si>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</si>
  <si>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</si>
  <si>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</si>
  <si>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</si>
  <si>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</si>
  <si>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</si>
  <si>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</si>
  <si>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</si>
  <si>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</si>
  <si>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</si>
  <si>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</si>
  <si>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</si>
  <si>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</si>
  <si>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</si>
  <si>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</si>
  <si>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</si>
  <si>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</si>
  <si>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</si>
  <si>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</si>
  <si>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</si>
  <si>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</si>
  <si>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</si>
  <si>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</si>
  <si>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</si>
  <si>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</si>
  <si>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</si>
  <si>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</si>
  <si>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</si>
  <si>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</si>
  <si>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</si>
  <si>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</si>
  <si>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</si>
  <si>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</si>
  <si>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</si>
  <si>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</si>
  <si>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</si>
  <si>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</si>
  <si>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</si>
  <si>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</si>
  <si>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</si>
  <si>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</si>
  <si>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</si>
  <si>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</si>
  <si>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</si>
  <si>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</si>
  <si>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</si>
  <si>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</si>
  <si>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</si>
  <si>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</si>
  <si>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</si>
  <si>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</si>
  <si>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</si>
  <si>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</si>
  <si>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</si>
  <si>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</si>
  <si>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</si>
  <si>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</si>
  <si>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</si>
  <si>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</si>
  <si>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</si>
  <si>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</si>
  <si>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</si>
  <si>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</si>
  <si>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</si>
  <si>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</si>
  <si>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</si>
  <si>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</si>
  <si>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</si>
  <si>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</si>
  <si>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</si>
  <si>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</si>
  <si>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</si>
  <si>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</si>
  <si>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</si>
  <si>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</si>
  <si>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</si>
  <si>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</si>
  <si>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</si>
  <si>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</si>
  <si>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</si>
  <si>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</si>
  <si>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</si>
  <si>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</si>
  <si>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</si>
  <si>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</si>
  <si>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</si>
  <si>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</si>
  <si>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</si>
  <si>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</si>
  <si>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</si>
  <si>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</si>
  <si>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</si>
  <si>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</si>
  <si>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</si>
  <si>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</si>
  <si>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</si>
  <si>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</si>
  <si>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</si>
  <si>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</si>
  <si>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</si>
  <si>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</si>
  <si>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</si>
  <si>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</si>
  <si>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</si>
  <si>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</si>
  <si>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</si>
  <si>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</si>
  <si>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</si>
  <si>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</si>
  <si>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</si>
  <si>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</si>
  <si>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</si>
  <si>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</si>
  <si>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</si>
  <si>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</si>
  <si>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</si>
  <si>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</si>
  <si>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</si>
  <si>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</si>
  <si>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</si>
  <si>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</si>
  <si>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</si>
  <si>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</si>
  <si>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</si>
  <si>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</si>
  <si>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</si>
  <si>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</si>
  <si>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</si>
  <si>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</si>
  <si>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</si>
  <si>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</si>
  <si>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</si>
  <si>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</si>
  <si>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</si>
  <si>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</si>
  <si>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</si>
  <si>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</si>
  <si>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</si>
  <si>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</si>
  <si>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</si>
  <si>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</si>
  <si>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</si>
  <si>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</si>
  <si>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</si>
  <si>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</si>
  <si>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</si>
  <si>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</si>
  <si>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</si>
  <si>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</si>
  <si>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</si>
  <si>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</si>
  <si>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</si>
  <si>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</si>
  <si>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</si>
  <si>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</si>
  <si>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</si>
  <si>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</si>
  <si>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</si>
  <si>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</si>
  <si>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</si>
  <si>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</si>
  <si>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</si>
  <si>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</si>
  <si>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</si>
  <si>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</si>
  <si>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</si>
  <si>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</si>
  <si>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</si>
  <si>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</si>
  <si>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</si>
  <si>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</si>
  <si>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</si>
  <si>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</si>
  <si>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</si>
  <si>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</si>
  <si>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</si>
  <si>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</si>
  <si>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</si>
  <si>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</si>
  <si>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</si>
  <si>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</si>
  <si>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</si>
  <si>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</si>
  <si>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</si>
  <si>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</si>
  <si>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</si>
  <si>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</si>
  <si>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</si>
  <si>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</si>
  <si>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</si>
  <si>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</si>
  <si>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</si>
  <si>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</si>
  <si>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</si>
  <si>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</si>
  <si>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</si>
  <si>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</si>
  <si>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</si>
  <si>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</si>
  <si>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</si>
  <si>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</si>
  <si>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</si>
  <si>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</si>
  <si>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</si>
  <si>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</si>
  <si>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</si>
  <si>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</si>
  <si>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</si>
  <si>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</si>
  <si>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</si>
  <si>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</si>
  <si>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</si>
  <si>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</si>
  <si>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</si>
  <si>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</si>
  <si>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</si>
  <si>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</si>
  <si>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</si>
  <si>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</si>
  <si>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</si>
  <si>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</si>
  <si>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</si>
  <si>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</si>
  <si>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</si>
  <si>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</si>
  <si>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</si>
  <si>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</si>
  <si>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</si>
  <si>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</si>
  <si>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</si>
  <si>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</si>
  <si>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</si>
  <si>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</si>
  <si>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</si>
  <si>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</si>
  <si>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</si>
  <si>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</si>
  <si>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</si>
  <si>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</si>
  <si>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</si>
  <si>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</si>
  <si>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</si>
  <si>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</si>
  <si>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</si>
  <si>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</si>
  <si>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</si>
  <si>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</si>
  <si>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</si>
  <si>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</si>
  <si>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</si>
  <si>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</si>
  <si>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</si>
  <si>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</si>
  <si>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</si>
  <si>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</si>
  <si>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</si>
  <si>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</si>
  <si>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</si>
  <si>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</si>
  <si>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</si>
  <si>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</si>
  <si>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</si>
  <si>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</si>
  <si>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</si>
  <si>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</si>
  <si>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</si>
  <si>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</si>
  <si>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</si>
  <si>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</si>
  <si>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</si>
  <si>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</si>
  <si>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</si>
  <si>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</si>
  <si>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</si>
  <si>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</si>
  <si>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</si>
  <si>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</si>
  <si>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</si>
  <si>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</si>
  <si>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</si>
  <si>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</si>
  <si>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</si>
  <si>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</si>
  <si>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</si>
  <si>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</si>
  <si>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</si>
  <si>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</si>
  <si>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</si>
  <si>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</si>
  <si>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</si>
  <si>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</si>
  <si>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</si>
  <si>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</si>
  <si>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</si>
  <si>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</si>
  <si>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</si>
  <si>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</si>
  <si>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</si>
  <si>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</si>
  <si>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</si>
  <si>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</si>
  <si>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</si>
  <si>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</si>
  <si>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</si>
  <si>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</si>
  <si>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</si>
  <si>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</si>
  <si>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</si>
  <si>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</si>
  <si>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</si>
  <si>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</si>
  <si>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</si>
  <si>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</si>
  <si>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</si>
  <si>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</si>
  <si>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</si>
  <si>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</si>
  <si>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</si>
  <si>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</si>
  <si>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</si>
  <si>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</si>
  <si>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</si>
  <si>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</si>
  <si>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</si>
  <si>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</si>
  <si>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</si>
  <si>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</si>
  <si>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</si>
  <si>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</si>
  <si>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</si>
  <si>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</si>
  <si>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</si>
  <si>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</si>
  <si>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</si>
  <si>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</si>
  <si>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</si>
  <si>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</si>
  <si>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</si>
  <si>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</si>
  <si>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</si>
  <si>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</si>
  <si>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</si>
  <si>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</si>
  <si>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</si>
  <si>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</si>
  <si>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</si>
  <si>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</si>
  <si>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</si>
  <si>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</si>
  <si>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</si>
  <si>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</si>
  <si>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</si>
  <si>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</si>
  <si>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</si>
  <si>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</si>
  <si>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</si>
  <si>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</si>
  <si>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</si>
  <si>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</si>
  <si>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</si>
  <si>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</si>
  <si>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</si>
  <si>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</si>
  <si>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</si>
  <si>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</si>
  <si>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</si>
  <si>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</si>
  <si>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</si>
  <si>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</si>
  <si>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</si>
  <si>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</si>
  <si>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</si>
  <si>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</si>
  <si>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</si>
  <si>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</si>
  <si>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</si>
  <si>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</si>
  <si>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</si>
  <si>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</si>
  <si>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</si>
  <si>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</si>
  <si>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</si>
  <si>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</si>
  <si>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</si>
  <si>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</si>
  <si>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</si>
  <si>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</si>
  <si>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</si>
  <si>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</si>
  <si>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</si>
  <si>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</si>
  <si>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</si>
  <si>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</si>
  <si>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</si>
  <si>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</si>
  <si>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</si>
  <si>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</si>
  <si>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</si>
  <si>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</si>
  <si>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</si>
  <si>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</si>
  <si>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</si>
  <si>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</si>
  <si>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</si>
  <si>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</si>
  <si>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</si>
  <si>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</si>
  <si>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</si>
  <si>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</si>
  <si>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</si>
  <si>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</si>
  <si>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</si>
  <si>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</si>
  <si>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</si>
  <si>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</si>
  <si>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</si>
  <si>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</si>
  <si>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</si>
  <si>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</si>
  <si>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</si>
  <si>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</si>
  <si>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</si>
  <si>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</si>
  <si>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</si>
  <si>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</si>
  <si>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</si>
  <si>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</si>
  <si>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</si>
  <si>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</si>
  <si>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</si>
  <si>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</si>
  <si>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</si>
  <si>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</si>
  <si>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</si>
  <si>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</si>
  <si>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</si>
  <si>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</si>
  <si>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</si>
  <si>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</si>
  <si>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</si>
  <si>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</si>
  <si>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</si>
  <si>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</si>
  <si>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</si>
  <si>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</si>
  <si>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</si>
  <si>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</si>
  <si>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</si>
  <si>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</si>
  <si>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</si>
  <si>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</si>
  <si>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</si>
  <si>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</si>
  <si>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</si>
  <si>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</si>
  <si>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</si>
  <si>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</si>
  <si>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</si>
  <si>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</si>
  <si>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</si>
  <si>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</si>
  <si>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</si>
  <si>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</si>
  <si>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</si>
  <si>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</si>
  <si>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</si>
  <si>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</si>
  <si>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</si>
  <si>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</si>
  <si>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</si>
  <si>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</si>
  <si>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</si>
  <si>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</si>
  <si>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</si>
  <si>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</si>
  <si>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</si>
  <si>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</si>
  <si>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</si>
  <si>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</si>
  <si>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</si>
  <si>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</si>
  <si>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</si>
  <si>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</si>
  <si>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</si>
  <si>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</si>
  <si>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</si>
  <si>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</si>
  <si>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</si>
  <si>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</si>
  <si>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</si>
  <si>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</si>
  <si>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</si>
  <si>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</si>
  <si>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</si>
  <si>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</si>
  <si>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</si>
  <si>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</si>
  <si>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</si>
  <si>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</si>
  <si>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</si>
  <si>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</si>
  <si>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</si>
  <si>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</si>
  <si>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</si>
  <si>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</si>
  <si>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</si>
  <si>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</si>
  <si>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</si>
  <si>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</si>
  <si>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</si>
  <si>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</si>
  <si>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</si>
  <si>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</si>
  <si>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</si>
  <si>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</si>
  <si>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</si>
  <si>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</si>
  <si>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</si>
  <si>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</si>
  <si>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</si>
  <si>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</si>
  <si>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</si>
  <si>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</si>
  <si>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</si>
  <si>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</si>
  <si>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</si>
  <si>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</si>
  <si>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</si>
  <si>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</si>
  <si>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</si>
  <si>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</si>
  <si>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</si>
  <si>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</si>
  <si>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</si>
  <si>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</si>
  <si>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</si>
  <si>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</si>
  <si>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</si>
  <si>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</si>
  <si>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</si>
  <si>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</si>
  <si>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</si>
  <si>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</si>
  <si>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</si>
  <si>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</si>
  <si>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</si>
  <si>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</si>
  <si>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</si>
  <si>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</si>
  <si>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</si>
  <si>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</si>
  <si>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</si>
  <si>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</si>
  <si>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</si>
  <si>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</si>
  <si>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</si>
  <si>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</si>
  <si>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</si>
  <si>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</si>
  <si>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</si>
  <si>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</si>
  <si>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</si>
  <si>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</si>
  <si>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</si>
  <si>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</si>
  <si>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</si>
  <si>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</si>
  <si>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</si>
  <si>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</si>
  <si>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</si>
  <si>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</si>
  <si>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</si>
  <si>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</si>
  <si>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</si>
  <si>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</si>
  <si>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</si>
  <si>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</si>
  <si>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</si>
  <si>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</si>
  <si>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</si>
  <si>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</si>
  <si>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</si>
  <si>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</si>
  <si>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</si>
  <si>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</si>
  <si>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</si>
  <si>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</si>
  <si>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</si>
  <si>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</si>
  <si>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</si>
  <si>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</si>
  <si>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</si>
  <si>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</si>
  <si>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</si>
  <si>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</si>
  <si>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</si>
  <si>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</si>
  <si>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</si>
  <si>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</si>
  <si>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</si>
  <si>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</si>
  <si>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</si>
  <si>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</si>
  <si>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</si>
  <si>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</si>
  <si>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</si>
  <si>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</si>
  <si>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</si>
  <si>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</si>
  <si>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</si>
  <si>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</si>
  <si>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</si>
  <si>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</si>
  <si>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</si>
  <si>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</si>
  <si>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</si>
  <si>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</si>
  <si>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</si>
  <si>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</si>
  <si>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</si>
  <si>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</si>
  <si>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</si>
  <si>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</si>
  <si>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</si>
  <si>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</si>
  <si>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</si>
  <si>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</si>
  <si>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</si>
  <si>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</si>
  <si>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</si>
  <si>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</si>
  <si>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</si>
  <si>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</si>
  <si>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</si>
  <si>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</si>
  <si>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</si>
  <si>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</si>
  <si>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</si>
  <si>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</si>
  <si>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</si>
  <si>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</si>
  <si>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</si>
  <si>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</si>
  <si>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</si>
  <si>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</si>
  <si>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</si>
  <si>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</si>
  <si>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</si>
  <si>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</si>
  <si>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</si>
  <si>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</si>
  <si>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</si>
  <si>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</si>
  <si>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</si>
  <si>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</si>
  <si>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</si>
  <si>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</si>
  <si>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</si>
  <si>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</si>
  <si>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</si>
  <si>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</si>
  <si>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</si>
  <si>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</si>
  <si>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</si>
  <si>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</si>
  <si>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</si>
  <si>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</si>
  <si>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</si>
  <si>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</si>
  <si>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</si>
  <si>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</si>
  <si>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</si>
  <si>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</si>
  <si>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</si>
  <si>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</si>
  <si>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</si>
  <si>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</si>
  <si>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</si>
  <si>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</si>
  <si>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</si>
  <si>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</si>
  <si>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</si>
  <si>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</si>
  <si>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</si>
  <si>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</si>
  <si>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</si>
  <si>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</si>
  <si>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</si>
  <si>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</si>
  <si>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</si>
  <si>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</si>
  <si>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</si>
  <si>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</si>
  <si>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</si>
  <si>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</si>
  <si>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</si>
  <si>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</si>
  <si>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</si>
  <si>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</si>
  <si>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</si>
  <si>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</si>
  <si>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</si>
  <si>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</si>
  <si>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</si>
  <si>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</si>
  <si>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</si>
  <si>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</si>
  <si>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</si>
  <si>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</si>
  <si>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</si>
  <si>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</si>
  <si>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</si>
  <si>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</si>
  <si>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</si>
  <si>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</si>
  <si>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</si>
  <si>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</si>
  <si>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</si>
  <si>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</si>
  <si>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</si>
  <si>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</si>
  <si>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</si>
  <si>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</si>
  <si>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</si>
  <si>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</si>
  <si>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</si>
  <si>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</si>
  <si>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</si>
  <si>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</si>
  <si>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</si>
  <si>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</si>
  <si>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</si>
  <si>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</si>
  <si>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</si>
  <si>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</si>
  <si>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</si>
  <si>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</si>
  <si>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</si>
  <si>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</si>
  <si>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</si>
  <si>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</si>
  <si>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</si>
  <si>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</si>
  <si>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</si>
  <si>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</si>
  <si>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</si>
  <si>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</si>
  <si>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</si>
  <si>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</si>
  <si>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</si>
  <si>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</si>
  <si>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</si>
  <si>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</si>
  <si>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</si>
  <si>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</si>
  <si>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</si>
  <si>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</si>
  <si>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</si>
  <si>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</si>
  <si>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</si>
  <si>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</si>
  <si>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</si>
  <si>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</si>
  <si>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</si>
  <si>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</si>
  <si>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</si>
  <si>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</si>
  <si>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</si>
  <si>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</si>
  <si>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</si>
  <si>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</si>
  <si>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</si>
  <si>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</si>
  <si>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</si>
  <si>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</si>
  <si>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</si>
  <si>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</si>
  <si>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</si>
  <si>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</si>
  <si>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</si>
  <si>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</si>
  <si>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</si>
  <si>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</si>
  <si>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</si>
  <si>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</si>
  <si>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</si>
  <si>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</si>
  <si>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</si>
  <si>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</si>
  <si>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</si>
  <si>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</si>
  <si>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</si>
  <si>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</si>
  <si>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</si>
  <si>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</si>
  <si>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</si>
  <si>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</si>
  <si>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</si>
  <si>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</si>
  <si>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</si>
  <si>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</si>
  <si>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</si>
  <si>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</si>
  <si>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</si>
  <si>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</si>
  <si>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</si>
  <si>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</si>
  <si>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 xml:space="preserve">Mobile       </t>
  </si>
  <si>
    <t>Remove Space</t>
  </si>
  <si>
    <t>Length2</t>
  </si>
  <si>
    <t>City-pincode</t>
  </si>
  <si>
    <t>Surat-235646</t>
  </si>
  <si>
    <t>Pune-412354</t>
  </si>
  <si>
    <t>Mumbai-400088</t>
  </si>
  <si>
    <t>abc</t>
  </si>
  <si>
    <t>xyz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</si>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</sst>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14" fontId="0" fillId="0" borderId="0" xfId="0" applyNumberFormat="1" applyFont="1"/>
    <xf numFmtId="0" fontId="1" fillId="2" borderId="0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activeCell="B1" sqref="B1:D13"/>
    </sheetView>
  </sheetViews>
  <sheetFormatPr defaultRowHeight="15"/>
  <cols>
    <col min="1" max="1" width="14" customWidth="1"/>
    <col min="2" max="2" width="13.42578125" customWidth="1"/>
    <col min="3" max="3" width="14" customWidth="1"/>
    <col min="4" max="4" width="20.7109375" style="11" customWidth="1"/>
    <col min="5" max="5" width="22.28515625" style="4" customWidth="1"/>
    <col min="6" max="6" width="13.7109375" customWidth="1"/>
    <col min="8" max="10" width="12.7109375" customWidth="1"/>
    <col min="11" max="11" width="17.710937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3053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507</v>
      </c>
      <c r="H2" t="s">
        <v>3553</v>
      </c>
      <c r="I2" t="s">
        <v>3554</v>
      </c>
      <c r="J2" t="s">
        <v>3555</v>
      </c>
      <c r="K2" t="s">
        <v>3556</v>
      </c>
      <c r="L2" t="s">
        <v>3558</v>
      </c>
      <c r="M2" t="s">
        <v>3559</v>
      </c>
      <c r="N2" t="s">
        <v>3560</v>
      </c>
      <c r="O2" t="s">
        <v>3561</v>
      </c>
    </row>
    <row r="3" spans="1:15">
      <c r="A3" s="5" t="s">
        <v>3054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3055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3056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3057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3058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3059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3060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3061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3062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3063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3064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3065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3557</v>
      </c>
    </row>
    <row r="15" spans="1:15">
      <c r="A15" s="5" t="s">
        <v>3066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3067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3068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3069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3070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3071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3072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3073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3074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3075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3076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3077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3078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3079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3080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3081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3082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3083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3084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3085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3086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3087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3088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3089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3090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3091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3092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3093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3094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3095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3096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3097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3098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3099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3100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3101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3102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3103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3104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3105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3106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3107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3108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3109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3110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3111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3112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3113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3114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3115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3116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3117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3118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3119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3120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3121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3122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3123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3124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3125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3126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3127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3128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3129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3130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3131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3132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3133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3134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3135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3136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3137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3138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3139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3140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3141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3142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3143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3144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3145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3146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3147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3148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3149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3150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3151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3152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3153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3154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3155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3156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3157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3158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3159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3160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3161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3162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3163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3164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3165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3166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3167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3168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3169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3170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3171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3172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3173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3174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3175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3176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3177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3178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3179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3180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3181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3182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3183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3184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3185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3186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3187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3188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3189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3190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3191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3192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3193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3194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3195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3196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3197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3198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3199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3200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3201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3202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3203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3204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3205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3206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3207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3208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3209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3210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3211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3212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3213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3214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3215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3216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3217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3218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3219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3220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3221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3222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3223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3224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3225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3226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3227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3228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3229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3230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3231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3232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3233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3234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3235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3236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3237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3238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3239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3240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3241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3242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3243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3244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3245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3246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3247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3248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3249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3250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3251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3252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3253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3254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3255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3256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3257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3258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3259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3260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3261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3262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3263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3264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3265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3266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3267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3268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3269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3270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3271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3272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3273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3274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3275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3276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3277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3278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3279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3280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3281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3282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3283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3284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3285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3286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3287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3288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3289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3290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3291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3292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3293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3294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3295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3296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3297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3298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3299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3300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3301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3302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3303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3304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3305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3306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3307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3308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3309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3310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3311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3312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3313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3314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3315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3316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3317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3318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3319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3320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3321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3322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3323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3324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3325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3326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3327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3328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3329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3330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3331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3332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3333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3334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3335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3336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3337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3338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3339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3340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3341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3342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3343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3344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3345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3346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3347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3348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3349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3350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3351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3352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3353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3354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3355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3356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3357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3358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3359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3360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3361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3362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3363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3364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3365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3366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3367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3368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3369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3370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3371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3372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3373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3374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3375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3376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3377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3378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3379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3380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3381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3382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3383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3384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3385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3386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3387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3388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3389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3390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3391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3392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3393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3394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3395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3396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3397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3398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3399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3400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3401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3402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3403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3404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3405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3406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3407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3408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3409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3410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3411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3412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3413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3414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3415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3416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3417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3418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3419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3420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3421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3422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3423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3424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3425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3426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3427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3428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3429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3430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3431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3432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3433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3434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3435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3436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3437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3438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3439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3440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3441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3442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3443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3444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3445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3446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3447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3448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3449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3450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3451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3452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3453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3454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3455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3456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3457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3458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3459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3460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3461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3462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3463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3464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3465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3466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3467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3468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3469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3470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3471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3472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3473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3474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3475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3476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3477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3478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3479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3480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3481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3482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3483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3484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3485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3486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3487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3488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3489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3490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3491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3492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3493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3494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3495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3496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3497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3498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3499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3500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3501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3502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3503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3504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3505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3506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3507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3508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3509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3510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3511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3512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3513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3514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3515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3516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3517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3518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3519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3520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3521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3522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3523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3524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3525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3526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3527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3528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3529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3530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3531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3532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3533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3534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3535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3536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3537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3538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3539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3540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3541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3542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3543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3544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3545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3546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3547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3548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3549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3550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3551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3552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K10"/>
  <sheetViews>
    <sheetView zoomScale="145" zoomScaleNormal="145" workbookViewId="0">
      <selection activeCell="E6" sqref="E6"/>
    </sheetView>
  </sheetViews>
  <sheetFormatPr defaultRowHeight="15"/>
  <cols>
    <col min="1" max="1" width="10.42578125" bestFit="1" customWidth="1"/>
    <col min="2" max="2" width="19.7109375" bestFit="1" customWidth="1"/>
    <col min="3" max="7" width="16.85546875" customWidth="1"/>
    <col min="8" max="8" width="5.28515625" bestFit="1" customWidth="1"/>
    <col min="9" max="9" width="18.7109375" customWidth="1"/>
    <col min="10" max="10" width="7.28515625" customWidth="1"/>
    <col min="11" max="11" width="11.42578125" bestFit="1" customWidth="1"/>
  </cols>
  <sheetData>
    <row r="1" spans="1:11">
      <c r="A1" s="3" t="s">
        <v>3562</v>
      </c>
      <c r="B1" s="3" t="s">
        <v>3563</v>
      </c>
      <c r="C1" s="3" t="s">
        <v>511</v>
      </c>
      <c r="D1" s="3" t="s">
        <v>3624</v>
      </c>
      <c r="E1" s="3" t="s">
        <v>3626</v>
      </c>
      <c r="F1" s="3" t="s">
        <v>3627</v>
      </c>
      <c r="G1" s="3" t="s">
        <v>3624</v>
      </c>
      <c r="H1" s="3" t="s">
        <v>512</v>
      </c>
      <c r="I1" s="3" t="s">
        <v>3564</v>
      </c>
      <c r="J1" s="3" t="s">
        <v>3565</v>
      </c>
      <c r="K1" s="3" t="s">
        <v>3566</v>
      </c>
    </row>
    <row r="2" spans="1:11">
      <c r="A2">
        <v>101</v>
      </c>
      <c r="B2" t="s">
        <v>3567</v>
      </c>
      <c r="C2" t="s">
        <v>3580</v>
      </c>
      <c r="D2">
        <f t="shared" ref="D2:D10" si="0">LEN(C2)</f>
        <v>10</v>
      </c>
      <c r="E2" t="str">
        <f>TRIM(C2)</f>
        <v>Mobile</v>
      </c>
      <c r="F2">
        <f>LEN(E2)</f>
        <v>6</v>
      </c>
      <c r="G2">
        <f t="shared" ref="G2:G10" si="1">LEN(C2)</f>
        <v>10</v>
      </c>
      <c r="H2">
        <v>799</v>
      </c>
      <c r="I2">
        <v>50</v>
      </c>
      <c r="J2">
        <v>4.5</v>
      </c>
      <c r="K2" t="s">
        <v>3568</v>
      </c>
    </row>
    <row r="3" spans="1:11">
      <c r="A3">
        <v>102</v>
      </c>
      <c r="B3" t="s">
        <v>3569</v>
      </c>
      <c r="C3" t="s">
        <v>3625</v>
      </c>
      <c r="D3">
        <f t="shared" si="0"/>
        <v>13</v>
      </c>
      <c r="E3" t="str">
        <f t="shared" ref="E3:E10" si="2">TRIM(C3)</f>
        <v>Mobile</v>
      </c>
      <c r="F3">
        <f t="shared" ref="F3:F10" si="3">LEN(E3)</f>
        <v>6</v>
      </c>
      <c r="G3">
        <f t="shared" si="1"/>
        <v>13</v>
      </c>
      <c r="H3">
        <v>999</v>
      </c>
      <c r="I3">
        <v>30</v>
      </c>
      <c r="J3">
        <v>4.7</v>
      </c>
      <c r="K3" t="s">
        <v>3570</v>
      </c>
    </row>
    <row r="4" spans="1:11">
      <c r="A4">
        <v>103</v>
      </c>
      <c r="B4" t="s">
        <v>3571</v>
      </c>
      <c r="C4" t="s">
        <v>3581</v>
      </c>
      <c r="D4">
        <f t="shared" si="0"/>
        <v>13</v>
      </c>
      <c r="E4" t="str">
        <f t="shared" si="2"/>
        <v>Headphones</v>
      </c>
      <c r="F4">
        <f t="shared" si="3"/>
        <v>10</v>
      </c>
      <c r="G4">
        <f t="shared" si="1"/>
        <v>13</v>
      </c>
      <c r="H4">
        <v>399</v>
      </c>
      <c r="I4">
        <v>15</v>
      </c>
      <c r="J4">
        <v>4.5999999999999996</v>
      </c>
      <c r="K4" t="s">
        <v>3572</v>
      </c>
    </row>
    <row r="5" spans="1:11">
      <c r="A5">
        <v>104</v>
      </c>
      <c r="B5" t="s">
        <v>3573</v>
      </c>
      <c r="C5" t="s">
        <v>3582</v>
      </c>
      <c r="D5">
        <f t="shared" si="0"/>
        <v>12</v>
      </c>
      <c r="E5" t="str">
        <f t="shared" si="2"/>
        <v>Laptop</v>
      </c>
      <c r="F5">
        <f t="shared" si="3"/>
        <v>6</v>
      </c>
      <c r="G5">
        <f t="shared" si="1"/>
        <v>12</v>
      </c>
      <c r="H5">
        <v>1249</v>
      </c>
      <c r="I5">
        <v>10</v>
      </c>
      <c r="J5">
        <v>4.8</v>
      </c>
      <c r="K5" t="s">
        <v>3574</v>
      </c>
    </row>
    <row r="6" spans="1:11">
      <c r="A6">
        <v>101</v>
      </c>
      <c r="B6" t="s">
        <v>3567</v>
      </c>
      <c r="C6" t="s">
        <v>3583</v>
      </c>
      <c r="D6">
        <f t="shared" si="0"/>
        <v>11</v>
      </c>
      <c r="E6" t="str">
        <f t="shared" si="2"/>
        <v>Mobile</v>
      </c>
      <c r="F6">
        <f t="shared" si="3"/>
        <v>6</v>
      </c>
      <c r="G6">
        <f t="shared" si="1"/>
        <v>11</v>
      </c>
      <c r="H6">
        <v>799</v>
      </c>
      <c r="I6">
        <v>50</v>
      </c>
      <c r="J6">
        <v>4.5</v>
      </c>
      <c r="K6" t="s">
        <v>3568</v>
      </c>
    </row>
    <row r="7" spans="1:11">
      <c r="A7">
        <v>105</v>
      </c>
      <c r="B7" t="s">
        <v>3575</v>
      </c>
      <c r="C7" t="s">
        <v>3584</v>
      </c>
      <c r="D7">
        <f t="shared" si="0"/>
        <v>8</v>
      </c>
      <c r="E7" t="str">
        <f t="shared" si="2"/>
        <v>Laptop</v>
      </c>
      <c r="F7">
        <f t="shared" si="3"/>
        <v>6</v>
      </c>
      <c r="G7">
        <f t="shared" si="1"/>
        <v>8</v>
      </c>
      <c r="H7">
        <v>1349</v>
      </c>
      <c r="I7">
        <v>8</v>
      </c>
      <c r="J7">
        <v>4.7</v>
      </c>
      <c r="K7" t="s">
        <v>3576</v>
      </c>
    </row>
    <row r="8" spans="1:11">
      <c r="A8">
        <v>106</v>
      </c>
      <c r="B8" t="s">
        <v>3577</v>
      </c>
      <c r="C8" t="s">
        <v>3585</v>
      </c>
      <c r="D8">
        <f t="shared" si="0"/>
        <v>12</v>
      </c>
      <c r="E8" t="str">
        <f t="shared" si="2"/>
        <v>Headphones</v>
      </c>
      <c r="F8">
        <f t="shared" si="3"/>
        <v>10</v>
      </c>
      <c r="G8">
        <f t="shared" si="1"/>
        <v>12</v>
      </c>
      <c r="H8">
        <v>329</v>
      </c>
      <c r="I8">
        <v>25</v>
      </c>
      <c r="J8">
        <v>4.4000000000000004</v>
      </c>
      <c r="K8" t="s">
        <v>3572</v>
      </c>
    </row>
    <row r="9" spans="1:11">
      <c r="A9">
        <v>107</v>
      </c>
      <c r="B9" t="s">
        <v>3571</v>
      </c>
      <c r="C9" t="s">
        <v>3586</v>
      </c>
      <c r="D9">
        <f t="shared" si="0"/>
        <v>18</v>
      </c>
      <c r="E9" t="str">
        <f t="shared" si="2"/>
        <v>Headphones</v>
      </c>
      <c r="F9">
        <f t="shared" si="3"/>
        <v>10</v>
      </c>
      <c r="G9">
        <f t="shared" si="1"/>
        <v>18</v>
      </c>
      <c r="H9">
        <v>399</v>
      </c>
      <c r="I9">
        <v>15</v>
      </c>
      <c r="J9">
        <v>4.5999999999999996</v>
      </c>
      <c r="K9" t="s">
        <v>3572</v>
      </c>
    </row>
    <row r="10" spans="1:11">
      <c r="A10">
        <v>108</v>
      </c>
      <c r="B10" t="s">
        <v>3578</v>
      </c>
      <c r="C10" t="s">
        <v>3587</v>
      </c>
      <c r="D10">
        <f t="shared" si="0"/>
        <v>8</v>
      </c>
      <c r="E10" t="str">
        <f t="shared" si="2"/>
        <v>Laptop</v>
      </c>
      <c r="F10">
        <f t="shared" si="3"/>
        <v>6</v>
      </c>
      <c r="G10">
        <f t="shared" si="1"/>
        <v>8</v>
      </c>
      <c r="H10">
        <v>1299</v>
      </c>
      <c r="I10">
        <v>6</v>
      </c>
      <c r="J10">
        <v>4.8</v>
      </c>
      <c r="K10" t="s">
        <v>3574</v>
      </c>
    </row>
  </sheetData>
  <pageMargins left="0.7" right="0.7" top="0.75" bottom="0.75" header="0.3" footer="0.3"/>
  <ignoredErrors>
    <ignoredError sqref="E2:E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2"/>
  <sheetViews>
    <sheetView zoomScale="175" zoomScaleNormal="175" workbookViewId="0">
      <selection activeCell="D9" sqref="D9"/>
    </sheetView>
  </sheetViews>
  <sheetFormatPr defaultRowHeight="15"/>
  <cols>
    <col min="1" max="1" width="11.570312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>
        <v>1</v>
      </c>
      <c r="B2" t="s">
        <v>3632</v>
      </c>
      <c r="C2" t="s">
        <v>3633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sqref="A1:D1"/>
    </sheetView>
  </sheetViews>
  <sheetFormatPr defaultRowHeight="15"/>
  <cols>
    <col min="1" max="1" width="11.7109375" bestFit="1" customWidth="1"/>
    <col min="2" max="2" width="12.28515625" bestFit="1" customWidth="1"/>
    <col min="3" max="3" width="12.42578125" customWidth="1"/>
    <col min="4" max="4" width="11.570312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3579</v>
      </c>
    </row>
    <row r="2" spans="1:4">
      <c r="A2" t="s">
        <v>3053</v>
      </c>
      <c r="B2" t="s">
        <v>5</v>
      </c>
      <c r="C2" t="s">
        <v>504</v>
      </c>
      <c r="D2">
        <v>9812345678</v>
      </c>
    </row>
    <row r="3" spans="1:4">
      <c r="A3" t="s">
        <v>3054</v>
      </c>
      <c r="B3" t="s">
        <v>6</v>
      </c>
      <c r="C3" t="s">
        <v>505</v>
      </c>
      <c r="D3">
        <v>9812345679</v>
      </c>
    </row>
    <row r="4" spans="1:4">
      <c r="A4" t="s">
        <v>3055</v>
      </c>
      <c r="B4" t="s">
        <v>7</v>
      </c>
      <c r="C4" t="s">
        <v>506</v>
      </c>
      <c r="D4">
        <v>9812345680</v>
      </c>
    </row>
    <row r="5" spans="1:4">
      <c r="A5" t="s">
        <v>3056</v>
      </c>
      <c r="B5" t="s">
        <v>8</v>
      </c>
      <c r="C5" t="s">
        <v>504</v>
      </c>
      <c r="D5">
        <v>9812345681</v>
      </c>
    </row>
    <row r="6" spans="1:4">
      <c r="A6" t="s">
        <v>3057</v>
      </c>
      <c r="B6" t="s">
        <v>9</v>
      </c>
      <c r="C6" t="s">
        <v>505</v>
      </c>
      <c r="D6">
        <v>9812345682</v>
      </c>
    </row>
    <row r="7" spans="1:4">
      <c r="A7" t="s">
        <v>3058</v>
      </c>
      <c r="B7" t="s">
        <v>7</v>
      </c>
      <c r="C7" t="s">
        <v>505</v>
      </c>
      <c r="D7">
        <v>9812345683</v>
      </c>
    </row>
    <row r="8" spans="1:4">
      <c r="A8" t="s">
        <v>3059</v>
      </c>
      <c r="B8" t="s">
        <v>10</v>
      </c>
      <c r="C8" t="s">
        <v>506</v>
      </c>
      <c r="D8">
        <v>9812345684</v>
      </c>
    </row>
    <row r="9" spans="1:4">
      <c r="A9" t="s">
        <v>3061</v>
      </c>
      <c r="B9" t="s">
        <v>12</v>
      </c>
      <c r="C9" t="s">
        <v>505</v>
      </c>
      <c r="D9">
        <v>9812345686</v>
      </c>
    </row>
    <row r="10" spans="1:4">
      <c r="A10" t="s">
        <v>3062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B14" sqref="B14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3588</v>
      </c>
    </row>
    <row r="2" spans="1:6">
      <c r="A2" t="s">
        <v>514</v>
      </c>
      <c r="B2" t="s">
        <v>1014</v>
      </c>
      <c r="C2" t="s">
        <v>3599</v>
      </c>
      <c r="D2">
        <v>363.54</v>
      </c>
      <c r="E2">
        <v>-3</v>
      </c>
      <c r="F2" t="s">
        <v>3589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3590</v>
      </c>
    </row>
    <row r="4" spans="1:6">
      <c r="A4" t="s">
        <v>516</v>
      </c>
      <c r="B4" t="s">
        <v>1016</v>
      </c>
      <c r="C4" t="s">
        <v>3600</v>
      </c>
      <c r="D4">
        <v>234.14</v>
      </c>
      <c r="E4">
        <v>26</v>
      </c>
      <c r="F4" t="s">
        <v>3591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3592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3593</v>
      </c>
    </row>
    <row r="7" spans="1:6">
      <c r="A7" t="s">
        <v>519</v>
      </c>
      <c r="B7" t="s">
        <v>1019</v>
      </c>
      <c r="C7" t="s">
        <v>3599</v>
      </c>
      <c r="D7">
        <v>549.17999999999995</v>
      </c>
      <c r="E7">
        <v>31</v>
      </c>
      <c r="F7" t="s">
        <v>3594</v>
      </c>
    </row>
    <row r="8" spans="1:6">
      <c r="A8" t="s">
        <v>520</v>
      </c>
      <c r="B8" t="s">
        <v>1020</v>
      </c>
      <c r="C8" t="s">
        <v>3600</v>
      </c>
      <c r="D8">
        <v>222.56</v>
      </c>
      <c r="E8">
        <v>59</v>
      </c>
      <c r="F8" t="s">
        <v>3595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3596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3597</v>
      </c>
    </row>
    <row r="11" spans="1:6">
      <c r="A11" t="s">
        <v>523</v>
      </c>
      <c r="B11" t="s">
        <v>1023</v>
      </c>
      <c r="C11" t="s">
        <v>3600</v>
      </c>
      <c r="D11">
        <v>230.28</v>
      </c>
      <c r="E11">
        <v>-5</v>
      </c>
      <c r="F11" t="s">
        <v>3598</v>
      </c>
    </row>
    <row r="12" spans="1:6">
      <c r="A12" t="s">
        <v>524</v>
      </c>
      <c r="B12" t="s">
        <v>1024</v>
      </c>
      <c r="C12" t="s">
        <v>3600</v>
      </c>
      <c r="D12">
        <v>763.66</v>
      </c>
      <c r="E12">
        <v>22</v>
      </c>
      <c r="F12" t="s">
        <v>3589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3590</v>
      </c>
    </row>
    <row r="14" spans="1:6">
      <c r="A14" t="s">
        <v>526</v>
      </c>
      <c r="B14" t="s">
        <v>1026</v>
      </c>
      <c r="C14" t="s">
        <v>3601</v>
      </c>
      <c r="D14">
        <v>669.92</v>
      </c>
      <c r="E14">
        <v>87</v>
      </c>
      <c r="F14" t="s">
        <v>3591</v>
      </c>
    </row>
    <row r="15" spans="1:6">
      <c r="A15" t="s">
        <v>527</v>
      </c>
      <c r="B15" t="s">
        <v>1027</v>
      </c>
      <c r="C15" t="s">
        <v>3600</v>
      </c>
      <c r="D15">
        <v>914.74</v>
      </c>
      <c r="E15">
        <v>-1</v>
      </c>
      <c r="F15" t="s">
        <v>3592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3593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3594</v>
      </c>
    </row>
    <row r="18" spans="1:6">
      <c r="A18" t="s">
        <v>530</v>
      </c>
      <c r="B18" t="s">
        <v>1030</v>
      </c>
      <c r="C18" t="s">
        <v>3601</v>
      </c>
      <c r="D18">
        <v>784.71</v>
      </c>
      <c r="E18">
        <v>96</v>
      </c>
      <c r="F18" t="s">
        <v>3595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3596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3597</v>
      </c>
    </row>
    <row r="21" spans="1:6">
      <c r="A21" t="s">
        <v>533</v>
      </c>
      <c r="B21" t="s">
        <v>1033</v>
      </c>
      <c r="C21" t="s">
        <v>3601</v>
      </c>
      <c r="D21">
        <v>944.43</v>
      </c>
      <c r="E21">
        <v>97</v>
      </c>
      <c r="F21" t="s">
        <v>3598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3589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3590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3591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3592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3593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3594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3595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3596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3597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3598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3589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3590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3591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3592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3593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3594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3595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3596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3597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3598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3589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3590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3591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3592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3593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3594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3595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3596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3597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3598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3589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3590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3591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3592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3593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3594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3595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3596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3597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3598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3589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3590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3591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3592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3593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3594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3595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3596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3597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3598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3589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3590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3591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3592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3593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3594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3595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3596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3597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3598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3589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3590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3591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3592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3593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3594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3595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3596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3597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3598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3589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3590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3591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3592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3593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3594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3595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3596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3597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3598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3589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3590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3591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3592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3593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3594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3595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3596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3597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3598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3589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3590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3591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3592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3593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3594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3595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3596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3597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3598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3589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3590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3591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3592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3593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3594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3595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3596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3597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3598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3589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3590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3591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3592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3593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3594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3595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3596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3597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3598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3589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3590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3591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3592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3593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3594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3595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3596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3597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3598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3589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3590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3591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3592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3593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3594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3595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3596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3597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3598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3589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3590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3591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3592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3593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3594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3595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3596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3597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3598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3589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3590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3591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3592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3593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3594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3595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3596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3597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3598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3589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3590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3591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3592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3593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3594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3595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3596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3597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3598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3589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3590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3591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3592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3593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3594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3595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3596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3597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3598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3589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3590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3591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3592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3593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3594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3595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3596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3597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3598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3589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3590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3591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3592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3593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3594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3595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3596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3597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3598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3589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3590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3591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3592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3593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3594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3595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3596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3597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3598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3589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3590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3591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3592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3593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3594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3595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3596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3597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3598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3589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3590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3591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3592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3593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3594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3595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3596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3597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3598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3589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3590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3591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3592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3593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3594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3595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3596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3597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3598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3589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3590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3591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3592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3593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3594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3595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3596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3597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3598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3589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3590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3591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3592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3593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3594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3595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3596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3597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3598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3589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3590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3591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3592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3593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3594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3595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3596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3597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3598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3589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3590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3591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3592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3593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3594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3595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3596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3597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3598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3589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3590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3591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3592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3593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3594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3595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3596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3597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3598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3589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3590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3591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3592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3593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3594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3595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3596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3597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3598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3589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3590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3591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3592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3593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3594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3595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3596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3597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3598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3589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3590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3591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3592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3593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3594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3595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3596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3597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3598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3589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3590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3591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3592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3593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3594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3595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3596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3597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3598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3589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3590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3591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3592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3593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3594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3595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3596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3597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3598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3589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3590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3591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3592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3593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3594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3595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3596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3597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3598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3589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3590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3591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3592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3593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3594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3595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3596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3597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3598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3589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3590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3591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3592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3593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3594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3595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3596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3597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3598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3589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3590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3591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3592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3593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3594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3595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3596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3597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3598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3589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3590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3591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3592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3593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3594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3595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3596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3597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3598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3589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3590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3591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3592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3593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3594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3595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3596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3597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3598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3589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3590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3591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3592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3593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3594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3595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3596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3597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3598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3589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3590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3591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3592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3593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3594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3595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3596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3597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3598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3589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3590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3591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3592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3593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3594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3595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3596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3597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3598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3589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3590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3591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3592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3593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3594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3595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3596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3597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3598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3589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3590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3591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3592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3593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3594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3595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3596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3597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3598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3589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3590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3591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3592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3593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3594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3595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3596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3597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3598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3589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3590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3591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3592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3593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3594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3595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3596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3597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3598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3589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3590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3591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3592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3593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3594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3595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3596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3597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3598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17" sqref="C17"/>
    </sheetView>
  </sheetViews>
  <sheetFormatPr defaultRowHeight="15"/>
  <cols>
    <col min="1" max="3" width="24.28515625" customWidth="1"/>
    <col min="4" max="4" width="25.7109375" customWidth="1"/>
    <col min="5" max="5" width="19.85546875" customWidth="1"/>
  </cols>
  <sheetData>
    <row r="1" spans="1:6">
      <c r="A1" s="14" t="s">
        <v>3602</v>
      </c>
      <c r="B1" s="16"/>
      <c r="C1" s="16"/>
    </row>
    <row r="2" spans="1:6">
      <c r="A2" s="15" t="s">
        <v>3603</v>
      </c>
      <c r="B2" s="17" t="str">
        <f>SUBSTITUTE(A2,CHAR(160),"")</f>
        <v>WH1881NL01</v>
      </c>
      <c r="C2" s="17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5" t="s">
        <v>3604</v>
      </c>
      <c r="B3" s="17" t="str">
        <f t="shared" ref="B3:B22" si="0">SUBSTITUTE(A3,CHAR(160),"")</f>
        <v>WH10017QM01</v>
      </c>
      <c r="C3" s="17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5" t="s">
        <v>3605</v>
      </c>
      <c r="B4" s="17" t="str">
        <f t="shared" si="0"/>
        <v>WH10017SL01</v>
      </c>
      <c r="C4" s="17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5" t="s">
        <v>3606</v>
      </c>
      <c r="B5" s="17" t="str">
        <f t="shared" si="0"/>
        <v>WH1043NM01</v>
      </c>
      <c r="C5" s="17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5" t="s">
        <v>3607</v>
      </c>
      <c r="B6" s="17" t="str">
        <f t="shared" si="0"/>
        <v>WH1043YL05</v>
      </c>
      <c r="C6" s="17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5" t="s">
        <v>3608</v>
      </c>
      <c r="B7" s="17" t="str">
        <f t="shared" si="0"/>
        <v>WH1043YM01</v>
      </c>
      <c r="C7" s="17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5" t="s">
        <v>3609</v>
      </c>
      <c r="B8" s="17" t="str">
        <f t="shared" si="0"/>
        <v>WH1044YM07</v>
      </c>
      <c r="C8" s="17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5" t="s">
        <v>3610</v>
      </c>
      <c r="B9" s="17" t="str">
        <f t="shared" si="0"/>
        <v>WH15952655WL01</v>
      </c>
      <c r="C9" s="17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5" t="s">
        <v>3611</v>
      </c>
      <c r="B10" s="17" t="str">
        <f t="shared" si="0"/>
        <v>WH1595NL01</v>
      </c>
      <c r="C10" s="17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5" t="s">
        <v>3612</v>
      </c>
      <c r="B11" s="17" t="str">
        <f t="shared" si="0"/>
        <v>WH1595NM01</v>
      </c>
      <c r="C11" s="17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5" t="s">
        <v>3613</v>
      </c>
      <c r="B12" s="17" t="str">
        <f t="shared" si="0"/>
        <v>WH1595SL03</v>
      </c>
      <c r="C12" s="17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5" t="s">
        <v>3614</v>
      </c>
      <c r="B13" s="17" t="str">
        <f t="shared" si="0"/>
        <v>WH1595SL06</v>
      </c>
      <c r="C13" s="17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5" t="s">
        <v>3615</v>
      </c>
      <c r="B14" s="17" t="str">
        <f t="shared" si="0"/>
        <v>WH1595SL505</v>
      </c>
      <c r="C14" s="17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5" t="s">
        <v>3616</v>
      </c>
      <c r="B15" s="17" t="str">
        <f t="shared" si="0"/>
        <v>WH1595WL01</v>
      </c>
      <c r="C15" s="17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5" t="s">
        <v>3617</v>
      </c>
      <c r="B16" s="17" t="str">
        <f t="shared" si="0"/>
        <v>WH1595WL09</v>
      </c>
      <c r="C16" s="17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5" t="s">
        <v>3618</v>
      </c>
      <c r="B17" s="17" t="str">
        <f t="shared" si="0"/>
        <v>WH1595WM01</v>
      </c>
      <c r="C17" s="17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5" t="s">
        <v>3619</v>
      </c>
      <c r="B18" s="17" t="str">
        <f t="shared" si="0"/>
        <v>WH1596NL01</v>
      </c>
      <c r="C18" s="17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5" t="s">
        <v>3620</v>
      </c>
      <c r="B19" s="17" t="str">
        <f t="shared" si="0"/>
        <v>WH1843NM01</v>
      </c>
      <c r="C19" s="17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5" t="s">
        <v>3621</v>
      </c>
      <c r="B20" s="17" t="str">
        <f t="shared" si="0"/>
        <v>WH1843QM02</v>
      </c>
      <c r="C20" s="17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5" t="s">
        <v>3622</v>
      </c>
      <c r="B21" s="17" t="str">
        <f t="shared" si="0"/>
        <v>WH1843WL01</v>
      </c>
      <c r="C21" s="17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5" t="s">
        <v>3623</v>
      </c>
      <c r="B22" s="17" t="str">
        <f t="shared" si="0"/>
        <v>WH2654WM01</v>
      </c>
      <c r="C22" s="17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B5" sqref="B5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.85546875" customWidth="1"/>
    <col min="5" max="5" width="7.5703125" customWidth="1"/>
    <col min="6" max="6" width="23.42578125" customWidth="1"/>
    <col min="7" max="7" width="74" bestFit="1" customWidth="1"/>
    <col min="10" max="10" width="13.5703125" customWidth="1"/>
    <col min="11" max="11" width="12.7109375" customWidth="1"/>
    <col min="12" max="12" width="11.42578125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513</v>
      </c>
      <c r="G1" s="3" t="s">
        <v>3588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3589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3590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3591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3592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3593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3594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3595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3596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3597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3598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3589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3590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3591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3592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3593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3594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3595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3596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3597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3598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3589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3590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3591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3592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3593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3594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3595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3596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3597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3598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3589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3590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3591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3592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3593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3594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3595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3596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3597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3598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3589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3590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3591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3592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3593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3594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3595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3596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3597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3598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3589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3590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3591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3592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3593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3594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3595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3596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3597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3598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3589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3590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3591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3592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3593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3594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3595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3596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3597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3598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3589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3590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3591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3592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3593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3594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3595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3596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3597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3598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3589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3590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3591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3592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3593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3594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3595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3596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3597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3598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3589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3590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3591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3592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3593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3594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3595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3596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3597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3598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3589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3590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3591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3592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3593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3594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3595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3596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3597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3598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3589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3590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3591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3592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3593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3594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3595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3596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3597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3598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3589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3590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3591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3592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3593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3594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3595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3596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3597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3598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3589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3590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3591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3592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3593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3594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3595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3596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3597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3598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3589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3590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3591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3592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3593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3594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3595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3596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3597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3598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3589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3590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3591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3592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3593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3594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3595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3596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3597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3598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3589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3590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3591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3592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3593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3594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3595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3596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3597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3598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3589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3590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3591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3592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3593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3594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3595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3596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3597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3598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3589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3590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3591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3592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3593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3594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3595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3596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3597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3598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3589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3590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3591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3592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3593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3594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3595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3596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3597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3598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3589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3590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3591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3592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3593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3594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3595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3596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3597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3598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3589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3590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3591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3592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3593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3594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3595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3596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3597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3598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3589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3590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3591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3592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3593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3594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3595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3596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3597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3598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3589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3590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3591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3592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3593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3594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3595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3596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3597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3598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3589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3590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3591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3592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3593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3594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3595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3596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3597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3598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3589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3590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3591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3592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3593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3594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3595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3596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3597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3598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3589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3590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3591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3592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3593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3594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3595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3596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3597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3598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3589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3590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3591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3592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3593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3594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3595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3596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3597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3598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3589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3590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3591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3592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3593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3594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3595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3596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3597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3598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3589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3590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3591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3592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3593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3594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3595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3596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3597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3598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3589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3590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3591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3592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3593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3594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3595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3596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3597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3598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3589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3590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3591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3592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3593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3594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3595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3596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3597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3598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3589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3590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3591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3592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3593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3594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3595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3596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3597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3598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3589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3590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3591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3592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3593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3594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3595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3596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3597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3598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3589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3590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3591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3592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3593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3594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3595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3596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3597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3598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3589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3590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3591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3592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3593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3594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3595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3596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3597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3598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3589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3590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3591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3592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3593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3594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3595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3596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3597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3598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3589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3590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3591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3592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3593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3594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3595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3596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3597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3598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3589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3590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3591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3592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3593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3594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3595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3596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3597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3598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3589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3590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3591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3592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3593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3594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3595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3596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3597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3598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3589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3590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3591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3592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3593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3594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3595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3596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3597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3598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3589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3590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3591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3592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3593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3594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3595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3596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3597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3598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3589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3590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3591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3592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3593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3594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3595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3596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3597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3598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3589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3590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3591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3592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3593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3594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3595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3596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3597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3598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3589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3590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3591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3592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3593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3594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3595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3596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3597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3598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3589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3590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3591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3592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3593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3594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3595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3596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3597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3598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3589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3590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3591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3592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3593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3594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3595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3596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3597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3598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3589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3590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3591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3592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3593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3594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3595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3596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3597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3598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3589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3590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3591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3592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3593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3594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3595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3596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3597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3598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3589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3590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3591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3592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3593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3594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3595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3596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3597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3598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G4"/>
  <sheetViews>
    <sheetView zoomScale="265" zoomScaleNormal="265" workbookViewId="0">
      <selection activeCell="C7" sqref="C7"/>
    </sheetView>
  </sheetViews>
  <sheetFormatPr defaultRowHeight="15"/>
  <cols>
    <col min="1" max="1" width="15.5703125" customWidth="1"/>
  </cols>
  <sheetData>
    <row r="1" spans="1:7">
      <c r="A1" t="s">
        <v>3628</v>
      </c>
    </row>
    <row r="2" spans="1:7">
      <c r="A2" t="s">
        <v>3631</v>
      </c>
      <c r="B2" t="str">
        <f>LEFT(A2,FIND("-",A2,1)-1)</f>
        <v>Mumbai</v>
      </c>
      <c r="C2" t="str">
        <f>RIGHT(A2,LEN(A2)-FIND("-",A2,1))</f>
        <v>400088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3630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  <c r="E3">
        <f t="shared" ref="E3:E4" si="2">LEN(A3)</f>
        <v>11</v>
      </c>
      <c r="F3">
        <f>FIND("-",A3,1)</f>
        <v>5</v>
      </c>
      <c r="G3">
        <f t="shared" ref="G3:G4" si="3">E3-F3</f>
        <v>6</v>
      </c>
    </row>
    <row r="4" spans="1:7">
      <c r="A4" t="s">
        <v>3629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>FIND("-",A4,1)</f>
        <v>6</v>
      </c>
      <c r="G4">
        <f t="shared" si="3"/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I13"/>
  <sheetViews>
    <sheetView topLeftCell="E1" zoomScale="94" zoomScaleNormal="160" workbookViewId="0">
      <selection activeCell="G1" sqref="G1"/>
    </sheetView>
  </sheetViews>
  <sheetFormatPr defaultRowHeight="15"/>
  <cols>
    <col min="1" max="1" width="11.5703125" bestFit="1" customWidth="1"/>
    <col min="2" max="2" width="13" customWidth="1"/>
    <col min="3" max="3" width="11.140625" bestFit="1" customWidth="1"/>
    <col min="4" max="4" width="13.140625" customWidth="1"/>
    <col min="5" max="5" width="11.85546875" customWidth="1"/>
    <col min="6" max="6" width="11.140625" customWidth="1"/>
    <col min="7" max="7" width="24.28515625" customWidth="1"/>
    <col min="8" max="8" width="22.85546875" bestFit="1" customWidth="1"/>
    <col min="9" max="9" width="10.140625" bestFit="1" customWidth="1"/>
  </cols>
  <sheetData>
    <row r="1" spans="1:9">
      <c r="A1" s="6" t="s">
        <v>3635</v>
      </c>
      <c r="B1" s="6" t="s">
        <v>3634</v>
      </c>
      <c r="C1" s="6" t="s">
        <v>2</v>
      </c>
      <c r="D1" s="6" t="s">
        <v>506</v>
      </c>
      <c r="E1" s="19" t="s">
        <v>3642</v>
      </c>
      <c r="F1" s="6" t="s">
        <v>3636</v>
      </c>
      <c r="G1" s="19" t="s">
        <v>3636</v>
      </c>
      <c r="H1" s="20" t="s">
        <v>3643</v>
      </c>
    </row>
    <row r="2" spans="1:9">
      <c r="A2" s="5" t="s">
        <v>3053</v>
      </c>
      <c r="B2" s="5" t="s">
        <v>5</v>
      </c>
      <c r="C2" s="5" t="s">
        <v>504</v>
      </c>
      <c r="D2" s="5">
        <v>72704</v>
      </c>
      <c r="E2" s="5" t="str">
        <f>IF(D2&gt;=50000,"complete","incomplete")</f>
        <v>complete</v>
      </c>
      <c r="F2" s="5">
        <f>IF(D2&gt;75000,D2*20%,IF(D2&gt;50000,D2*15%,D2*10%))</f>
        <v>10905.6</v>
      </c>
      <c r="G2">
        <f>_xlfn.IFS(D2&gt;75000,D2*20%,D2&gt;50000,D2*15%,D2&lt;=50000,D2*10%)</f>
        <v>10905.6</v>
      </c>
      <c r="H2" t="s">
        <v>3644</v>
      </c>
      <c r="I2" t="s">
        <v>3648</v>
      </c>
    </row>
    <row r="3" spans="1:9">
      <c r="A3" s="5" t="s">
        <v>3054</v>
      </c>
      <c r="B3" s="5" t="s">
        <v>6</v>
      </c>
      <c r="C3" s="5" t="s">
        <v>505</v>
      </c>
      <c r="D3" s="5">
        <v>44718</v>
      </c>
      <c r="E3" s="5" t="str">
        <f t="shared" ref="E3:E13" si="0">IF(D3&gt;=50000,"complete","incomplete")</f>
        <v>incomplete</v>
      </c>
      <c r="F3" s="5">
        <f t="shared" ref="F3:F13" si="1">IF(D3&gt;75000,D3*20%,IF(D3&gt;50000,D3*15%,D3*10%))</f>
        <v>4471.8</v>
      </c>
      <c r="G3">
        <f t="shared" ref="G3:G13" si="2">_xlfn.IFS(D3&gt;75000,D3*20%,D3&gt;50000,D3*15%,D3&lt;=50000,D3*10%)</f>
        <v>4471.8</v>
      </c>
      <c r="H3" t="s">
        <v>3646</v>
      </c>
      <c r="I3" t="s">
        <v>3645</v>
      </c>
    </row>
    <row r="4" spans="1:9">
      <c r="A4" s="5" t="s">
        <v>3055</v>
      </c>
      <c r="B4" s="5" t="s">
        <v>7</v>
      </c>
      <c r="C4" s="5" t="s">
        <v>506</v>
      </c>
      <c r="D4" s="5">
        <v>35210</v>
      </c>
      <c r="E4" s="5" t="str">
        <f t="shared" si="0"/>
        <v>incomplete</v>
      </c>
      <c r="F4" s="5">
        <f t="shared" si="1"/>
        <v>3521</v>
      </c>
      <c r="G4">
        <f t="shared" si="2"/>
        <v>3521</v>
      </c>
      <c r="H4" t="s">
        <v>3640</v>
      </c>
      <c r="I4" t="s">
        <v>3647</v>
      </c>
    </row>
    <row r="5" spans="1:9">
      <c r="A5" s="5" t="s">
        <v>3056</v>
      </c>
      <c r="B5" s="5" t="s">
        <v>8</v>
      </c>
      <c r="C5" s="5" t="s">
        <v>504</v>
      </c>
      <c r="D5" s="5">
        <v>30681</v>
      </c>
      <c r="E5" s="5" t="str">
        <f t="shared" si="0"/>
        <v>incomplete</v>
      </c>
      <c r="F5" s="5">
        <f t="shared" si="1"/>
        <v>3068.1000000000004</v>
      </c>
      <c r="G5">
        <f t="shared" si="2"/>
        <v>3068.1000000000004</v>
      </c>
    </row>
    <row r="6" spans="1:9">
      <c r="A6" s="5" t="s">
        <v>3057</v>
      </c>
      <c r="B6" s="5" t="s">
        <v>9</v>
      </c>
      <c r="C6" s="5" t="s">
        <v>505</v>
      </c>
      <c r="D6" s="5">
        <v>47487</v>
      </c>
      <c r="E6" s="5" t="str">
        <f t="shared" si="0"/>
        <v>incomplete</v>
      </c>
      <c r="F6" s="5">
        <f t="shared" si="1"/>
        <v>4748.7</v>
      </c>
      <c r="G6">
        <f t="shared" si="2"/>
        <v>4748.7</v>
      </c>
    </row>
    <row r="7" spans="1:9">
      <c r="A7" s="5" t="s">
        <v>3058</v>
      </c>
      <c r="B7" s="5" t="s">
        <v>7</v>
      </c>
      <c r="C7" s="5" t="s">
        <v>505</v>
      </c>
      <c r="D7" s="5">
        <v>75613</v>
      </c>
      <c r="E7" s="5" t="str">
        <f t="shared" si="0"/>
        <v>complete</v>
      </c>
      <c r="F7" s="5">
        <f t="shared" si="1"/>
        <v>15122.6</v>
      </c>
      <c r="G7">
        <f t="shared" si="2"/>
        <v>15122.6</v>
      </c>
      <c r="H7" s="28" t="s">
        <v>3637</v>
      </c>
      <c r="I7" s="28"/>
    </row>
    <row r="8" spans="1:9">
      <c r="A8" s="5" t="s">
        <v>3059</v>
      </c>
      <c r="B8" s="5" t="s">
        <v>10</v>
      </c>
      <c r="C8" s="5" t="s">
        <v>506</v>
      </c>
      <c r="D8" s="5">
        <v>63671</v>
      </c>
      <c r="E8" s="5" t="str">
        <f t="shared" si="0"/>
        <v>complete</v>
      </c>
      <c r="F8" s="5">
        <f t="shared" si="1"/>
        <v>9550.65</v>
      </c>
      <c r="G8">
        <f t="shared" si="2"/>
        <v>9550.65</v>
      </c>
      <c r="H8" t="s">
        <v>506</v>
      </c>
      <c r="I8" t="s">
        <v>3641</v>
      </c>
    </row>
    <row r="9" spans="1:9">
      <c r="A9" s="5" t="s">
        <v>3060</v>
      </c>
      <c r="B9" s="5" t="s">
        <v>11</v>
      </c>
      <c r="C9" s="5" t="s">
        <v>504</v>
      </c>
      <c r="D9" s="5">
        <v>38966</v>
      </c>
      <c r="E9" s="5" t="str">
        <f t="shared" si="0"/>
        <v>incomplete</v>
      </c>
      <c r="F9" s="5">
        <f t="shared" si="1"/>
        <v>3896.6000000000004</v>
      </c>
      <c r="G9">
        <f t="shared" si="2"/>
        <v>3896.6000000000004</v>
      </c>
      <c r="H9" t="s">
        <v>3638</v>
      </c>
      <c r="I9" s="18">
        <v>0.2</v>
      </c>
    </row>
    <row r="10" spans="1:9">
      <c r="A10" s="5" t="s">
        <v>3061</v>
      </c>
      <c r="B10" s="5" t="s">
        <v>12</v>
      </c>
      <c r="C10" s="5" t="s">
        <v>505</v>
      </c>
      <c r="D10" s="5">
        <v>77052</v>
      </c>
      <c r="E10" s="5" t="str">
        <f t="shared" si="0"/>
        <v>complete</v>
      </c>
      <c r="F10" s="5">
        <f t="shared" si="1"/>
        <v>15410.400000000001</v>
      </c>
      <c r="G10">
        <f t="shared" si="2"/>
        <v>15410.400000000001</v>
      </c>
      <c r="H10" t="s">
        <v>3639</v>
      </c>
      <c r="I10" s="18">
        <v>0.15</v>
      </c>
    </row>
    <row r="11" spans="1:9">
      <c r="A11" s="5" t="s">
        <v>3062</v>
      </c>
      <c r="B11" s="5" t="s">
        <v>13</v>
      </c>
      <c r="C11" s="5" t="s">
        <v>506</v>
      </c>
      <c r="D11" s="5">
        <v>86570</v>
      </c>
      <c r="E11" s="5" t="str">
        <f t="shared" si="0"/>
        <v>complete</v>
      </c>
      <c r="F11" s="5">
        <f t="shared" si="1"/>
        <v>17314</v>
      </c>
      <c r="G11">
        <f t="shared" si="2"/>
        <v>17314</v>
      </c>
      <c r="H11" t="s">
        <v>3640</v>
      </c>
      <c r="I11" s="18">
        <v>0.1</v>
      </c>
    </row>
    <row r="12" spans="1:9">
      <c r="A12" s="5" t="s">
        <v>3063</v>
      </c>
      <c r="B12" s="5" t="s">
        <v>14</v>
      </c>
      <c r="C12" s="5" t="s">
        <v>506</v>
      </c>
      <c r="D12" s="5">
        <v>30250</v>
      </c>
      <c r="E12" s="5" t="str">
        <f t="shared" si="0"/>
        <v>incomplete</v>
      </c>
      <c r="F12" s="5">
        <f t="shared" si="1"/>
        <v>3025</v>
      </c>
      <c r="G12">
        <f t="shared" si="2"/>
        <v>3025</v>
      </c>
    </row>
    <row r="13" spans="1:9">
      <c r="A13" s="5" t="s">
        <v>3064</v>
      </c>
      <c r="B13" s="5" t="s">
        <v>15</v>
      </c>
      <c r="C13" s="5" t="s">
        <v>505</v>
      </c>
      <c r="D13" s="5">
        <v>71584</v>
      </c>
      <c r="E13" s="5" t="str">
        <f t="shared" si="0"/>
        <v>complete</v>
      </c>
      <c r="F13" s="5">
        <f t="shared" si="1"/>
        <v>10737.6</v>
      </c>
      <c r="G13">
        <f t="shared" si="2"/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zoomScale="175" zoomScaleNormal="175" workbookViewId="0">
      <selection activeCell="E2" sqref="E2"/>
    </sheetView>
  </sheetViews>
  <sheetFormatPr defaultRowHeight="15"/>
  <cols>
    <col min="1" max="1" width="12.140625" bestFit="1" customWidth="1"/>
    <col min="2" max="2" width="12.28515625" customWidth="1"/>
    <col min="3" max="3" width="14.85546875" customWidth="1"/>
    <col min="4" max="4" width="14.5703125" customWidth="1"/>
    <col min="5" max="5" width="14.42578125" customWidth="1"/>
    <col min="7" max="7" width="12.140625" customWidth="1"/>
    <col min="8" max="8" width="9.85546875" customWidth="1"/>
    <col min="9" max="9" width="9.5703125" bestFit="1" customWidth="1"/>
  </cols>
  <sheetData>
    <row r="1" spans="1:9">
      <c r="A1" s="6" t="s">
        <v>1</v>
      </c>
      <c r="B1" s="6" t="s">
        <v>2</v>
      </c>
      <c r="C1" s="6" t="s">
        <v>3702</v>
      </c>
      <c r="D1" s="9" t="s">
        <v>3</v>
      </c>
      <c r="E1" s="19" t="s">
        <v>3710</v>
      </c>
      <c r="F1" s="19" t="s">
        <v>3711</v>
      </c>
      <c r="G1" s="23" t="s">
        <v>3708</v>
      </c>
    </row>
    <row r="2" spans="1:9">
      <c r="A2" s="5" t="s">
        <v>5</v>
      </c>
      <c r="B2" s="5" t="s">
        <v>504</v>
      </c>
      <c r="C2" s="5">
        <v>5</v>
      </c>
      <c r="D2" s="10">
        <v>41954</v>
      </c>
      <c r="E2" t="str">
        <f>IF(AND(B2="finance",C2&gt;=5),"yes","no")</f>
        <v>yes</v>
      </c>
      <c r="F2" t="str">
        <f>IF(OR(B2="finance",C2&gt;=5),"yes","no")</f>
        <v>yes</v>
      </c>
    </row>
    <row r="3" spans="1:9">
      <c r="A3" s="5" t="s">
        <v>6</v>
      </c>
      <c r="B3" s="5" t="s">
        <v>505</v>
      </c>
      <c r="C3" s="5">
        <v>4</v>
      </c>
      <c r="D3" s="10">
        <v>49855</v>
      </c>
      <c r="E3" t="str">
        <f>IF(AND(B3="finance",C3&gt;=5),"yes","no")</f>
        <v>no</v>
      </c>
      <c r="F3" t="str">
        <f t="shared" ref="F3:F13" si="0">IF(OR(B3="finance",C3&gt;=5),"yes","no")</f>
        <v>no</v>
      </c>
      <c r="G3" s="29" t="s">
        <v>3704</v>
      </c>
      <c r="H3" s="29"/>
      <c r="I3" s="24" t="s">
        <v>3706</v>
      </c>
    </row>
    <row r="4" spans="1:9">
      <c r="A4" s="5" t="s">
        <v>7</v>
      </c>
      <c r="B4" s="5" t="s">
        <v>506</v>
      </c>
      <c r="C4" s="5">
        <v>3</v>
      </c>
      <c r="D4" s="10">
        <v>94210</v>
      </c>
      <c r="E4" t="str">
        <f>IF(AND(B4="finance",C4&gt;=5),"yes","no")</f>
        <v>no</v>
      </c>
      <c r="F4" t="str">
        <f t="shared" si="0"/>
        <v>no</v>
      </c>
      <c r="G4" s="5" t="s">
        <v>504</v>
      </c>
      <c r="H4" s="5" t="s">
        <v>3709</v>
      </c>
      <c r="I4" s="24" t="s">
        <v>3705</v>
      </c>
    </row>
    <row r="5" spans="1:9">
      <c r="A5" s="5" t="s">
        <v>8</v>
      </c>
      <c r="B5" s="5" t="s">
        <v>504</v>
      </c>
      <c r="C5" s="5">
        <v>5</v>
      </c>
      <c r="D5" s="10">
        <v>74689</v>
      </c>
      <c r="E5" t="str">
        <f>IF(AND(B5="finance",C5&gt;=5),"yes","no")</f>
        <v>yes</v>
      </c>
      <c r="F5" t="str">
        <f t="shared" si="0"/>
        <v>yes</v>
      </c>
    </row>
    <row r="6" spans="1:9">
      <c r="A6" s="5" t="s">
        <v>9</v>
      </c>
      <c r="B6" s="5" t="s">
        <v>505</v>
      </c>
      <c r="C6" s="5">
        <v>6</v>
      </c>
      <c r="D6" s="10">
        <v>90652</v>
      </c>
      <c r="E6" t="str">
        <f>IF(AND(B6="finance",C6&gt;=5),"yes","no")</f>
        <v>no</v>
      </c>
      <c r="F6" t="str">
        <f t="shared" si="0"/>
        <v>yes</v>
      </c>
    </row>
    <row r="7" spans="1:9">
      <c r="A7" s="5" t="s">
        <v>7</v>
      </c>
      <c r="B7" s="5" t="s">
        <v>505</v>
      </c>
      <c r="C7" s="5">
        <v>2</v>
      </c>
      <c r="D7" s="10">
        <v>74820</v>
      </c>
      <c r="E7" t="str">
        <f>IF(AND(B7="finance",C7&gt;=5),"yes","no")</f>
        <v>no</v>
      </c>
      <c r="F7" t="str">
        <f t="shared" si="0"/>
        <v>no</v>
      </c>
      <c r="G7" s="29" t="s">
        <v>3707</v>
      </c>
      <c r="H7" s="29"/>
      <c r="I7" s="24" t="s">
        <v>3706</v>
      </c>
    </row>
    <row r="8" spans="1:9">
      <c r="A8" s="5" t="s">
        <v>10</v>
      </c>
      <c r="B8" s="5" t="s">
        <v>506</v>
      </c>
      <c r="C8" s="5">
        <v>3</v>
      </c>
      <c r="D8" s="10">
        <v>85206</v>
      </c>
      <c r="E8" t="str">
        <f>IF(AND(B8="finance",C8&gt;=5),"yes","no")</f>
        <v>no</v>
      </c>
      <c r="F8" t="str">
        <f t="shared" si="0"/>
        <v>no</v>
      </c>
      <c r="G8" s="5" t="s">
        <v>504</v>
      </c>
      <c r="H8" s="5" t="s">
        <v>3703</v>
      </c>
      <c r="I8" s="24" t="s">
        <v>3705</v>
      </c>
    </row>
    <row r="9" spans="1:9">
      <c r="A9" s="5" t="s">
        <v>11</v>
      </c>
      <c r="B9" s="5" t="s">
        <v>504</v>
      </c>
      <c r="C9" s="5">
        <v>5</v>
      </c>
      <c r="D9" s="10">
        <v>30924</v>
      </c>
      <c r="E9" t="str">
        <f>IF(AND(B9="finance",C9&gt;=5),"yes","no")</f>
        <v>yes</v>
      </c>
      <c r="F9" t="str">
        <f t="shared" si="0"/>
        <v>yes</v>
      </c>
    </row>
    <row r="10" spans="1:9">
      <c r="A10" s="5" t="s">
        <v>12</v>
      </c>
      <c r="B10" s="5" t="s">
        <v>505</v>
      </c>
      <c r="C10" s="5">
        <v>6</v>
      </c>
      <c r="D10" s="10">
        <v>57737</v>
      </c>
      <c r="E10" t="str">
        <f>IF(AND(B10="finance",C10&gt;=5),"yes","no")</f>
        <v>no</v>
      </c>
      <c r="F10" t="str">
        <f t="shared" si="0"/>
        <v>yes</v>
      </c>
    </row>
    <row r="11" spans="1:9">
      <c r="A11" s="5" t="s">
        <v>13</v>
      </c>
      <c r="B11" s="5" t="s">
        <v>506</v>
      </c>
      <c r="C11" s="5">
        <v>2</v>
      </c>
      <c r="D11" s="10">
        <v>36000</v>
      </c>
      <c r="E11" t="str">
        <f>IF(AND(B11="finance",C11&gt;=5),"yes","no")</f>
        <v>no</v>
      </c>
      <c r="F11" t="str">
        <f t="shared" si="0"/>
        <v>no</v>
      </c>
    </row>
    <row r="12" spans="1:9">
      <c r="A12" s="5" t="s">
        <v>14</v>
      </c>
      <c r="B12" s="5" t="s">
        <v>506</v>
      </c>
      <c r="C12" s="5">
        <v>3</v>
      </c>
      <c r="D12" s="10">
        <v>96371</v>
      </c>
      <c r="E12" t="str">
        <f>IF(AND(B12="finance",C12&gt;=5),"yes","no")</f>
        <v>no</v>
      </c>
      <c r="F12" t="str">
        <f t="shared" si="0"/>
        <v>no</v>
      </c>
    </row>
    <row r="13" spans="1:9">
      <c r="A13" s="5" t="s">
        <v>15</v>
      </c>
      <c r="B13" s="5" t="s">
        <v>505</v>
      </c>
      <c r="C13" s="5">
        <v>7</v>
      </c>
      <c r="D13" s="10">
        <v>85028</v>
      </c>
      <c r="E13" t="str">
        <f>IF(AND(B13="finance",C13&gt;=5),"yes","no")</f>
        <v>no</v>
      </c>
      <c r="F13" t="str">
        <f t="shared" si="0"/>
        <v>yes</v>
      </c>
    </row>
  </sheetData>
  <mergeCells count="2">
    <mergeCell ref="G3:H3"/>
    <mergeCell ref="G7:H7"/>
  </mergeCells>
  <conditionalFormatting sqref="G4">
    <cfRule type="expression" dxfId="1" priority="2">
      <formula>$D3=$G$3</formula>
    </cfRule>
  </conditionalFormatting>
  <conditionalFormatting sqref="A2:D13 G8">
    <cfRule type="expression" dxfId="0" priority="5">
      <formula>$D2=$G$3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zoomScale="130" zoomScaleNormal="130" workbookViewId="0">
      <selection activeCell="D13" sqref="D13"/>
    </sheetView>
  </sheetViews>
  <sheetFormatPr defaultRowHeight="15"/>
  <cols>
    <col min="1" max="1" width="15.42578125" style="27" customWidth="1"/>
    <col min="2" max="8" width="15.42578125" style="23" customWidth="1"/>
  </cols>
  <sheetData>
    <row r="1" spans="1:18">
      <c r="A1" s="25" t="s">
        <v>3653</v>
      </c>
      <c r="B1" s="26" t="s">
        <v>1533</v>
      </c>
      <c r="C1" s="26" t="s">
        <v>2543</v>
      </c>
      <c r="D1" s="26" t="s">
        <v>2544</v>
      </c>
      <c r="E1" s="26" t="s">
        <v>3649</v>
      </c>
      <c r="F1" s="26" t="s">
        <v>3650</v>
      </c>
      <c r="G1" s="26" t="s">
        <v>3651</v>
      </c>
      <c r="H1" s="26" t="s">
        <v>3652</v>
      </c>
      <c r="K1" s="22"/>
      <c r="L1" s="21"/>
      <c r="M1" s="21"/>
      <c r="N1" s="21"/>
      <c r="O1" s="21"/>
      <c r="P1" s="21"/>
      <c r="Q1" s="21"/>
      <c r="R1" s="21"/>
    </row>
    <row r="2" spans="1:18">
      <c r="A2" s="27">
        <v>45241</v>
      </c>
      <c r="B2" s="23" t="s">
        <v>1535</v>
      </c>
      <c r="C2" s="23" t="s">
        <v>2549</v>
      </c>
      <c r="D2" s="23" t="s">
        <v>3654</v>
      </c>
      <c r="E2" s="23" t="s">
        <v>1518</v>
      </c>
      <c r="F2" s="23">
        <v>3</v>
      </c>
      <c r="G2" s="23">
        <v>4210.7700000000004</v>
      </c>
      <c r="H2" s="23">
        <v>12632.31</v>
      </c>
    </row>
    <row r="3" spans="1:18">
      <c r="A3" s="27">
        <v>45101</v>
      </c>
      <c r="B3" s="23" t="s">
        <v>1537</v>
      </c>
      <c r="C3" s="23" t="s">
        <v>2552</v>
      </c>
      <c r="D3" s="23" t="s">
        <v>3655</v>
      </c>
      <c r="E3" s="23" t="s">
        <v>1516</v>
      </c>
      <c r="F3" s="23">
        <v>19</v>
      </c>
      <c r="G3" s="23">
        <v>2873.83</v>
      </c>
      <c r="H3" s="23">
        <v>54602.77</v>
      </c>
    </row>
    <row r="4" spans="1:18">
      <c r="A4" s="27">
        <v>44949</v>
      </c>
      <c r="B4" s="23" t="s">
        <v>1537</v>
      </c>
      <c r="C4" s="23" t="s">
        <v>2550</v>
      </c>
      <c r="D4" s="23" t="s">
        <v>3656</v>
      </c>
      <c r="E4" s="23" t="s">
        <v>3657</v>
      </c>
      <c r="F4" s="23">
        <v>1</v>
      </c>
      <c r="G4" s="23">
        <v>267.32</v>
      </c>
      <c r="H4" s="23">
        <v>267.32</v>
      </c>
    </row>
    <row r="5" spans="1:18">
      <c r="A5" s="27">
        <v>45260</v>
      </c>
      <c r="B5" s="23" t="s">
        <v>1537</v>
      </c>
      <c r="C5" s="23" t="s">
        <v>2550</v>
      </c>
      <c r="D5" s="23" t="s">
        <v>3658</v>
      </c>
      <c r="E5" s="23" t="s">
        <v>1518</v>
      </c>
      <c r="F5" s="23">
        <v>9</v>
      </c>
      <c r="G5" s="23">
        <v>1378.65</v>
      </c>
      <c r="H5" s="23">
        <v>12407.85</v>
      </c>
    </row>
    <row r="6" spans="1:18">
      <c r="A6" s="27">
        <v>45289</v>
      </c>
      <c r="B6" s="23" t="s">
        <v>1538</v>
      </c>
      <c r="C6" s="23" t="s">
        <v>2551</v>
      </c>
      <c r="D6" s="23" t="s">
        <v>3659</v>
      </c>
      <c r="E6" s="23" t="s">
        <v>1518</v>
      </c>
      <c r="F6" s="23">
        <v>9</v>
      </c>
      <c r="G6" s="23">
        <v>1161.02</v>
      </c>
      <c r="H6" s="23">
        <v>10449.18</v>
      </c>
    </row>
    <row r="7" spans="1:18">
      <c r="A7" s="27">
        <v>44996</v>
      </c>
      <c r="B7" s="23" t="s">
        <v>1535</v>
      </c>
      <c r="C7" s="23" t="s">
        <v>2549</v>
      </c>
      <c r="D7" s="23" t="s">
        <v>3660</v>
      </c>
      <c r="E7" s="23" t="s">
        <v>1516</v>
      </c>
      <c r="F7" s="23">
        <v>5</v>
      </c>
      <c r="G7" s="23">
        <v>3732.82</v>
      </c>
      <c r="H7" s="23">
        <v>18664.099999999999</v>
      </c>
    </row>
    <row r="8" spans="1:18">
      <c r="A8" s="27">
        <v>45250</v>
      </c>
      <c r="B8" s="23" t="s">
        <v>1538</v>
      </c>
      <c r="C8" s="23" t="s">
        <v>2551</v>
      </c>
      <c r="D8" s="23" t="s">
        <v>3659</v>
      </c>
      <c r="E8" s="23" t="s">
        <v>1517</v>
      </c>
      <c r="F8" s="23">
        <v>4</v>
      </c>
      <c r="G8" s="23">
        <v>961.38</v>
      </c>
      <c r="H8" s="23">
        <v>3845.52</v>
      </c>
    </row>
    <row r="9" spans="1:18">
      <c r="A9" s="27">
        <v>45213</v>
      </c>
      <c r="B9" s="23" t="s">
        <v>1538</v>
      </c>
      <c r="C9" s="23" t="s">
        <v>2551</v>
      </c>
      <c r="D9" s="23" t="s">
        <v>3659</v>
      </c>
      <c r="E9" s="23" t="s">
        <v>3657</v>
      </c>
      <c r="F9" s="23">
        <v>14</v>
      </c>
      <c r="G9" s="23">
        <v>4457.21</v>
      </c>
      <c r="H9" s="23">
        <v>62400.94</v>
      </c>
    </row>
    <row r="10" spans="1:18">
      <c r="A10" s="27">
        <v>44962</v>
      </c>
      <c r="B10" s="23" t="s">
        <v>1537</v>
      </c>
      <c r="C10" s="23" t="s">
        <v>2550</v>
      </c>
      <c r="D10" s="23" t="s">
        <v>3661</v>
      </c>
      <c r="E10" s="23" t="s">
        <v>1516</v>
      </c>
      <c r="F10" s="23">
        <v>6</v>
      </c>
      <c r="G10" s="23">
        <v>2463.6799999999998</v>
      </c>
      <c r="H10" s="23">
        <v>14782.08</v>
      </c>
    </row>
    <row r="11" spans="1:18">
      <c r="A11" s="27">
        <v>45236</v>
      </c>
      <c r="B11" s="23" t="s">
        <v>1537</v>
      </c>
      <c r="C11" s="23" t="s">
        <v>2552</v>
      </c>
      <c r="D11" s="23" t="s">
        <v>3662</v>
      </c>
      <c r="E11" s="23" t="s">
        <v>3657</v>
      </c>
      <c r="F11" s="23">
        <v>13</v>
      </c>
      <c r="G11" s="23">
        <v>4226.47</v>
      </c>
      <c r="H11" s="23">
        <v>54944.11</v>
      </c>
    </row>
    <row r="12" spans="1:18">
      <c r="A12" s="27">
        <v>45058</v>
      </c>
      <c r="B12" s="23" t="s">
        <v>1537</v>
      </c>
      <c r="C12" s="23" t="s">
        <v>2550</v>
      </c>
      <c r="D12" s="23" t="s">
        <v>3658</v>
      </c>
      <c r="E12" s="23" t="s">
        <v>1514</v>
      </c>
      <c r="F12" s="23">
        <v>11</v>
      </c>
      <c r="G12" s="23">
        <v>2852.22</v>
      </c>
      <c r="H12" s="23">
        <v>31374.42</v>
      </c>
    </row>
    <row r="13" spans="1:18">
      <c r="A13" s="27">
        <v>44973</v>
      </c>
      <c r="B13" s="23" t="s">
        <v>1538</v>
      </c>
      <c r="C13" s="23" t="s">
        <v>2551</v>
      </c>
      <c r="D13" s="23" t="s">
        <v>3659</v>
      </c>
      <c r="E13" s="23" t="s">
        <v>3657</v>
      </c>
      <c r="F13" s="23">
        <v>2</v>
      </c>
      <c r="G13" s="23">
        <v>4059.61</v>
      </c>
      <c r="H13" s="23">
        <v>8119.22</v>
      </c>
    </row>
    <row r="14" spans="1:18">
      <c r="A14" s="27">
        <v>45065</v>
      </c>
      <c r="B14" s="23" t="s">
        <v>1538</v>
      </c>
      <c r="C14" s="23" t="s">
        <v>2551</v>
      </c>
      <c r="D14" s="23" t="s">
        <v>3659</v>
      </c>
      <c r="E14" s="23" t="s">
        <v>1518</v>
      </c>
      <c r="F14" s="23">
        <v>13</v>
      </c>
      <c r="G14" s="23">
        <v>1965.63</v>
      </c>
      <c r="H14" s="23">
        <v>25553.19</v>
      </c>
    </row>
    <row r="15" spans="1:18">
      <c r="A15" s="27">
        <v>45070</v>
      </c>
      <c r="B15" s="23" t="s">
        <v>1538</v>
      </c>
      <c r="C15" s="23" t="s">
        <v>2551</v>
      </c>
      <c r="D15" s="23" t="s">
        <v>3659</v>
      </c>
      <c r="E15" s="23" t="s">
        <v>1514</v>
      </c>
      <c r="F15" s="23">
        <v>4</v>
      </c>
      <c r="G15" s="23">
        <v>1020.23</v>
      </c>
      <c r="H15" s="23">
        <v>4080.92</v>
      </c>
    </row>
    <row r="16" spans="1:18">
      <c r="A16" s="27">
        <v>45225</v>
      </c>
      <c r="B16" s="23" t="s">
        <v>1538</v>
      </c>
      <c r="C16" s="23" t="s">
        <v>2551</v>
      </c>
      <c r="D16" s="23" t="s">
        <v>3659</v>
      </c>
      <c r="E16" s="23" t="s">
        <v>1517</v>
      </c>
      <c r="F16" s="23">
        <v>16</v>
      </c>
      <c r="G16" s="23">
        <v>2178.7800000000002</v>
      </c>
      <c r="H16" s="23">
        <v>34860.480000000003</v>
      </c>
    </row>
    <row r="17" spans="1:8">
      <c r="A17" s="27">
        <v>44995</v>
      </c>
      <c r="B17" s="23" t="s">
        <v>1538</v>
      </c>
      <c r="C17" s="23" t="s">
        <v>2551</v>
      </c>
      <c r="D17" s="23" t="s">
        <v>3659</v>
      </c>
      <c r="E17" s="23" t="s">
        <v>1514</v>
      </c>
      <c r="F17" s="23">
        <v>3</v>
      </c>
      <c r="G17" s="23">
        <v>4229.84</v>
      </c>
      <c r="H17" s="23">
        <v>12689.52</v>
      </c>
    </row>
    <row r="18" spans="1:8">
      <c r="A18" s="27">
        <v>45226</v>
      </c>
      <c r="B18" s="23" t="s">
        <v>1535</v>
      </c>
      <c r="C18" s="23" t="s">
        <v>2548</v>
      </c>
      <c r="D18" s="23" t="s">
        <v>3663</v>
      </c>
      <c r="E18" s="23" t="s">
        <v>1518</v>
      </c>
      <c r="F18" s="23">
        <v>11</v>
      </c>
      <c r="G18" s="23">
        <v>255.3</v>
      </c>
      <c r="H18" s="23">
        <v>2808.3</v>
      </c>
    </row>
    <row r="19" spans="1:8">
      <c r="A19" s="27">
        <v>45261</v>
      </c>
      <c r="B19" s="23" t="s">
        <v>1535</v>
      </c>
      <c r="C19" s="23" t="s">
        <v>2548</v>
      </c>
      <c r="D19" s="23" t="s">
        <v>3664</v>
      </c>
      <c r="E19" s="23" t="s">
        <v>1516</v>
      </c>
      <c r="F19" s="23">
        <v>1</v>
      </c>
      <c r="G19" s="23">
        <v>4557.0600000000004</v>
      </c>
      <c r="H19" s="23">
        <v>4557.0600000000004</v>
      </c>
    </row>
    <row r="20" spans="1:8">
      <c r="A20" s="27">
        <v>44972</v>
      </c>
      <c r="B20" s="23" t="s">
        <v>1535</v>
      </c>
      <c r="C20" s="23" t="s">
        <v>2548</v>
      </c>
      <c r="D20" s="23" t="s">
        <v>3663</v>
      </c>
      <c r="E20" s="23" t="s">
        <v>1514</v>
      </c>
      <c r="F20" s="23">
        <v>10</v>
      </c>
      <c r="G20" s="23">
        <v>843.5</v>
      </c>
      <c r="H20" s="23">
        <v>8435</v>
      </c>
    </row>
    <row r="21" spans="1:8">
      <c r="A21" s="27">
        <v>44998</v>
      </c>
      <c r="B21" s="23" t="s">
        <v>1535</v>
      </c>
      <c r="C21" s="23" t="s">
        <v>2549</v>
      </c>
      <c r="D21" s="23" t="s">
        <v>3654</v>
      </c>
      <c r="E21" s="23" t="s">
        <v>1518</v>
      </c>
      <c r="F21" s="23">
        <v>5</v>
      </c>
      <c r="G21" s="23">
        <v>4987.7</v>
      </c>
      <c r="H21" s="23">
        <v>24938.5</v>
      </c>
    </row>
    <row r="22" spans="1:8">
      <c r="A22" s="27">
        <v>45095</v>
      </c>
      <c r="B22" s="23" t="s">
        <v>1535</v>
      </c>
      <c r="C22" s="23" t="s">
        <v>2548</v>
      </c>
      <c r="D22" s="23" t="s">
        <v>3664</v>
      </c>
      <c r="E22" s="23" t="s">
        <v>1516</v>
      </c>
      <c r="F22" s="23">
        <v>5</v>
      </c>
      <c r="G22" s="23">
        <v>3860.73</v>
      </c>
      <c r="H22" s="23">
        <v>19303.650000000001</v>
      </c>
    </row>
    <row r="23" spans="1:8">
      <c r="A23" s="27">
        <v>45125</v>
      </c>
      <c r="B23" s="23" t="s">
        <v>1535</v>
      </c>
      <c r="C23" s="23" t="s">
        <v>2549</v>
      </c>
      <c r="D23" s="23" t="s">
        <v>3654</v>
      </c>
      <c r="E23" s="23" t="s">
        <v>1517</v>
      </c>
      <c r="F23" s="23">
        <v>14</v>
      </c>
      <c r="G23" s="23">
        <v>4649.53</v>
      </c>
      <c r="H23" s="23">
        <v>65093.42</v>
      </c>
    </row>
    <row r="24" spans="1:8">
      <c r="A24" s="27">
        <v>45267</v>
      </c>
      <c r="B24" s="23" t="s">
        <v>1538</v>
      </c>
      <c r="C24" s="23" t="s">
        <v>2551</v>
      </c>
      <c r="D24" s="23" t="s">
        <v>3659</v>
      </c>
      <c r="E24" s="23" t="s">
        <v>1516</v>
      </c>
      <c r="F24" s="23">
        <v>3</v>
      </c>
      <c r="G24" s="23">
        <v>144.38999999999999</v>
      </c>
      <c r="H24" s="23">
        <v>433.17</v>
      </c>
    </row>
    <row r="25" spans="1:8">
      <c r="A25" s="27">
        <v>45290</v>
      </c>
      <c r="B25" s="23" t="s">
        <v>1537</v>
      </c>
      <c r="C25" s="23" t="s">
        <v>2552</v>
      </c>
      <c r="D25" s="23" t="s">
        <v>3662</v>
      </c>
      <c r="E25" s="23" t="s">
        <v>1517</v>
      </c>
      <c r="F25" s="23">
        <v>15</v>
      </c>
      <c r="G25" s="23">
        <v>4402.43</v>
      </c>
      <c r="H25" s="23">
        <v>66036.45</v>
      </c>
    </row>
    <row r="26" spans="1:8">
      <c r="A26" s="27">
        <v>45146</v>
      </c>
      <c r="B26" s="23" t="s">
        <v>1535</v>
      </c>
      <c r="C26" s="23" t="s">
        <v>2549</v>
      </c>
      <c r="D26" s="23" t="s">
        <v>3665</v>
      </c>
      <c r="E26" s="23" t="s">
        <v>1516</v>
      </c>
      <c r="F26" s="23">
        <v>8</v>
      </c>
      <c r="G26" s="23">
        <v>1461.31</v>
      </c>
      <c r="H26" s="23">
        <v>11690.48</v>
      </c>
    </row>
    <row r="27" spans="1:8">
      <c r="A27" s="27">
        <v>44977</v>
      </c>
      <c r="B27" s="23" t="s">
        <v>1535</v>
      </c>
      <c r="C27" s="23" t="s">
        <v>2549</v>
      </c>
      <c r="D27" s="23" t="s">
        <v>3660</v>
      </c>
      <c r="E27" s="23" t="s">
        <v>1518</v>
      </c>
      <c r="F27" s="23">
        <v>9</v>
      </c>
      <c r="G27" s="23">
        <v>3318.1</v>
      </c>
      <c r="H27" s="23">
        <v>29862.9</v>
      </c>
    </row>
    <row r="28" spans="1:8">
      <c r="A28" s="27">
        <v>45150</v>
      </c>
      <c r="B28" s="23" t="s">
        <v>1535</v>
      </c>
      <c r="C28" s="23" t="s">
        <v>2548</v>
      </c>
      <c r="D28" s="23" t="s">
        <v>3666</v>
      </c>
      <c r="E28" s="23" t="s">
        <v>1516</v>
      </c>
      <c r="F28" s="23">
        <v>13</v>
      </c>
      <c r="G28" s="23">
        <v>2475.98</v>
      </c>
      <c r="H28" s="23">
        <v>32187.74</v>
      </c>
    </row>
    <row r="29" spans="1:8">
      <c r="A29" s="27">
        <v>44986</v>
      </c>
      <c r="B29" s="23" t="s">
        <v>1537</v>
      </c>
      <c r="C29" s="23" t="s">
        <v>2550</v>
      </c>
      <c r="D29" s="23" t="s">
        <v>3656</v>
      </c>
      <c r="E29" s="23" t="s">
        <v>1514</v>
      </c>
      <c r="F29" s="23">
        <v>3</v>
      </c>
      <c r="G29" s="23">
        <v>4132.17</v>
      </c>
      <c r="H29" s="23">
        <v>12396.51</v>
      </c>
    </row>
    <row r="30" spans="1:8">
      <c r="A30" s="27">
        <v>45212</v>
      </c>
      <c r="B30" s="23" t="s">
        <v>1537</v>
      </c>
      <c r="C30" s="23" t="s">
        <v>2552</v>
      </c>
      <c r="D30" s="23" t="s">
        <v>3655</v>
      </c>
      <c r="E30" s="23" t="s">
        <v>1516</v>
      </c>
      <c r="F30" s="23">
        <v>12</v>
      </c>
      <c r="G30" s="23">
        <v>835.83</v>
      </c>
      <c r="H30" s="23">
        <v>10029.959999999999</v>
      </c>
    </row>
    <row r="31" spans="1:8">
      <c r="A31" s="27">
        <v>45089</v>
      </c>
      <c r="B31" s="23" t="s">
        <v>1538</v>
      </c>
      <c r="C31" s="23" t="s">
        <v>2551</v>
      </c>
      <c r="D31" s="23" t="s">
        <v>3659</v>
      </c>
      <c r="E31" s="23" t="s">
        <v>1517</v>
      </c>
      <c r="F31" s="23">
        <v>12</v>
      </c>
      <c r="G31" s="23">
        <v>1377.41</v>
      </c>
      <c r="H31" s="23">
        <v>16528.919999999998</v>
      </c>
    </row>
    <row r="32" spans="1:8">
      <c r="A32" s="27">
        <v>45183</v>
      </c>
      <c r="B32" s="23" t="s">
        <v>1537</v>
      </c>
      <c r="C32" s="23" t="s">
        <v>2550</v>
      </c>
      <c r="D32" s="23" t="s">
        <v>3661</v>
      </c>
      <c r="E32" s="23" t="s">
        <v>1514</v>
      </c>
      <c r="F32" s="23">
        <v>2</v>
      </c>
      <c r="G32" s="23">
        <v>1983.93</v>
      </c>
      <c r="H32" s="23">
        <v>3967.86</v>
      </c>
    </row>
    <row r="33" spans="1:8">
      <c r="A33" s="27">
        <v>45169</v>
      </c>
      <c r="B33" s="23" t="s">
        <v>1535</v>
      </c>
      <c r="C33" s="23" t="s">
        <v>2549</v>
      </c>
      <c r="D33" s="23" t="s">
        <v>3654</v>
      </c>
      <c r="E33" s="23" t="s">
        <v>1517</v>
      </c>
      <c r="F33" s="23">
        <v>8</v>
      </c>
      <c r="G33" s="23">
        <v>4621.75</v>
      </c>
      <c r="H33" s="23">
        <v>36974</v>
      </c>
    </row>
    <row r="34" spans="1:8">
      <c r="A34" s="27">
        <v>45111</v>
      </c>
      <c r="B34" s="23" t="s">
        <v>1537</v>
      </c>
      <c r="C34" s="23" t="s">
        <v>2552</v>
      </c>
      <c r="D34" s="23" t="s">
        <v>3667</v>
      </c>
      <c r="E34" s="23" t="s">
        <v>3657</v>
      </c>
      <c r="F34" s="23">
        <v>8</v>
      </c>
      <c r="G34" s="23">
        <v>2342.02</v>
      </c>
      <c r="H34" s="23">
        <v>18736.16</v>
      </c>
    </row>
    <row r="35" spans="1:8">
      <c r="A35" s="27">
        <v>45146</v>
      </c>
      <c r="B35" s="23" t="s">
        <v>1535</v>
      </c>
      <c r="C35" s="23" t="s">
        <v>2549</v>
      </c>
      <c r="D35" s="23" t="s">
        <v>3654</v>
      </c>
      <c r="E35" s="23" t="s">
        <v>1517</v>
      </c>
      <c r="F35" s="23">
        <v>9</v>
      </c>
      <c r="G35" s="23">
        <v>489.27</v>
      </c>
      <c r="H35" s="23">
        <v>4403.43</v>
      </c>
    </row>
    <row r="36" spans="1:8">
      <c r="A36" s="27">
        <v>45219</v>
      </c>
      <c r="B36" s="23" t="s">
        <v>1537</v>
      </c>
      <c r="C36" s="23" t="s">
        <v>2550</v>
      </c>
      <c r="D36" s="23" t="s">
        <v>3661</v>
      </c>
      <c r="E36" s="23" t="s">
        <v>1517</v>
      </c>
      <c r="F36" s="23">
        <v>3</v>
      </c>
      <c r="G36" s="23">
        <v>2444.6</v>
      </c>
      <c r="H36" s="23">
        <v>7333.8</v>
      </c>
    </row>
    <row r="37" spans="1:8">
      <c r="A37" s="27">
        <v>45132</v>
      </c>
      <c r="B37" s="23" t="s">
        <v>1537</v>
      </c>
      <c r="C37" s="23" t="s">
        <v>2550</v>
      </c>
      <c r="D37" s="23" t="s">
        <v>3656</v>
      </c>
      <c r="E37" s="23" t="s">
        <v>1518</v>
      </c>
      <c r="F37" s="23">
        <v>5</v>
      </c>
      <c r="G37" s="23">
        <v>1346.45</v>
      </c>
      <c r="H37" s="23">
        <v>6732.25</v>
      </c>
    </row>
    <row r="38" spans="1:8">
      <c r="A38" s="27">
        <v>45257</v>
      </c>
      <c r="B38" s="23" t="s">
        <v>1535</v>
      </c>
      <c r="C38" s="23" t="s">
        <v>2549</v>
      </c>
      <c r="D38" s="23" t="s">
        <v>3665</v>
      </c>
      <c r="E38" s="23" t="s">
        <v>1517</v>
      </c>
      <c r="F38" s="23">
        <v>17</v>
      </c>
      <c r="G38" s="23">
        <v>1333.71</v>
      </c>
      <c r="H38" s="23">
        <v>22673.07</v>
      </c>
    </row>
    <row r="39" spans="1:8">
      <c r="A39" s="27">
        <v>45230</v>
      </c>
      <c r="B39" s="23" t="s">
        <v>1537</v>
      </c>
      <c r="C39" s="23" t="s">
        <v>2552</v>
      </c>
      <c r="D39" s="23" t="s">
        <v>3667</v>
      </c>
      <c r="E39" s="23" t="s">
        <v>1514</v>
      </c>
      <c r="F39" s="23">
        <v>2</v>
      </c>
      <c r="G39" s="23">
        <v>2287.09</v>
      </c>
      <c r="H39" s="23">
        <v>4574.18</v>
      </c>
    </row>
    <row r="40" spans="1:8">
      <c r="A40" s="27">
        <v>45219</v>
      </c>
      <c r="B40" s="23" t="s">
        <v>1535</v>
      </c>
      <c r="C40" s="23" t="s">
        <v>2548</v>
      </c>
      <c r="D40" s="23" t="s">
        <v>3663</v>
      </c>
      <c r="E40" s="23" t="s">
        <v>1514</v>
      </c>
      <c r="F40" s="23">
        <v>12</v>
      </c>
      <c r="G40" s="23">
        <v>2384.1</v>
      </c>
      <c r="H40" s="23">
        <v>28609.200000000001</v>
      </c>
    </row>
    <row r="41" spans="1:8">
      <c r="A41" s="27">
        <v>45017</v>
      </c>
      <c r="B41" s="23" t="s">
        <v>1535</v>
      </c>
      <c r="C41" s="23" t="s">
        <v>2548</v>
      </c>
      <c r="D41" s="23" t="s">
        <v>3664</v>
      </c>
      <c r="E41" s="23" t="s">
        <v>1518</v>
      </c>
      <c r="F41" s="23">
        <v>2</v>
      </c>
      <c r="G41" s="23">
        <v>3037.55</v>
      </c>
      <c r="H41" s="23">
        <v>6075.1</v>
      </c>
    </row>
    <row r="42" spans="1:8">
      <c r="A42" s="27">
        <v>44941</v>
      </c>
      <c r="B42" s="23" t="s">
        <v>1535</v>
      </c>
      <c r="C42" s="23" t="s">
        <v>2549</v>
      </c>
      <c r="D42" s="23" t="s">
        <v>3654</v>
      </c>
      <c r="E42" s="23" t="s">
        <v>1518</v>
      </c>
      <c r="F42" s="23">
        <v>7</v>
      </c>
      <c r="G42" s="23">
        <v>3163.37</v>
      </c>
      <c r="H42" s="23">
        <v>22143.59</v>
      </c>
    </row>
    <row r="43" spans="1:8">
      <c r="A43" s="27">
        <v>45289</v>
      </c>
      <c r="B43" s="23" t="s">
        <v>1535</v>
      </c>
      <c r="C43" s="23" t="s">
        <v>2549</v>
      </c>
      <c r="D43" s="23" t="s">
        <v>3665</v>
      </c>
      <c r="E43" s="23" t="s">
        <v>1518</v>
      </c>
      <c r="F43" s="23">
        <v>13</v>
      </c>
      <c r="G43" s="23">
        <v>4985.82</v>
      </c>
      <c r="H43" s="23">
        <v>64815.66</v>
      </c>
    </row>
    <row r="44" spans="1:8">
      <c r="A44" s="27">
        <v>45189</v>
      </c>
      <c r="B44" s="23" t="s">
        <v>1535</v>
      </c>
      <c r="C44" s="23" t="s">
        <v>2548</v>
      </c>
      <c r="D44" s="23" t="s">
        <v>3666</v>
      </c>
      <c r="E44" s="23" t="s">
        <v>1517</v>
      </c>
      <c r="F44" s="23">
        <v>8</v>
      </c>
      <c r="G44" s="23">
        <v>285.94</v>
      </c>
      <c r="H44" s="23">
        <v>2287.52</v>
      </c>
    </row>
    <row r="45" spans="1:8">
      <c r="A45" s="27">
        <v>45264</v>
      </c>
      <c r="B45" s="23" t="s">
        <v>1537</v>
      </c>
      <c r="C45" s="23" t="s">
        <v>2552</v>
      </c>
      <c r="D45" s="23" t="s">
        <v>3655</v>
      </c>
      <c r="E45" s="23" t="s">
        <v>1517</v>
      </c>
      <c r="F45" s="23">
        <v>11</v>
      </c>
      <c r="G45" s="23">
        <v>1905.7</v>
      </c>
      <c r="H45" s="23">
        <v>20962.7</v>
      </c>
    </row>
    <row r="46" spans="1:8">
      <c r="A46" s="27">
        <v>44970</v>
      </c>
      <c r="B46" s="23" t="s">
        <v>1537</v>
      </c>
      <c r="C46" s="23" t="s">
        <v>2552</v>
      </c>
      <c r="D46" s="23" t="s">
        <v>3662</v>
      </c>
      <c r="E46" s="23" t="s">
        <v>1517</v>
      </c>
      <c r="F46" s="23">
        <v>20</v>
      </c>
      <c r="G46" s="23">
        <v>1310.3699999999999</v>
      </c>
      <c r="H46" s="23">
        <v>26207.4</v>
      </c>
    </row>
    <row r="47" spans="1:8">
      <c r="A47" s="27">
        <v>45021</v>
      </c>
      <c r="B47" s="23" t="s">
        <v>1535</v>
      </c>
      <c r="C47" s="23" t="s">
        <v>2548</v>
      </c>
      <c r="D47" s="23" t="s">
        <v>3664</v>
      </c>
      <c r="E47" s="23" t="s">
        <v>3657</v>
      </c>
      <c r="F47" s="23">
        <v>8</v>
      </c>
      <c r="G47" s="23">
        <v>1185.17</v>
      </c>
      <c r="H47" s="23">
        <v>9481.36</v>
      </c>
    </row>
    <row r="48" spans="1:8">
      <c r="A48" s="27">
        <v>45134</v>
      </c>
      <c r="B48" s="23" t="s">
        <v>1538</v>
      </c>
      <c r="C48" s="23" t="s">
        <v>2551</v>
      </c>
      <c r="D48" s="23" t="s">
        <v>3659</v>
      </c>
      <c r="E48" s="23" t="s">
        <v>1516</v>
      </c>
      <c r="F48" s="23">
        <v>6</v>
      </c>
      <c r="G48" s="23">
        <v>4100.9799999999996</v>
      </c>
      <c r="H48" s="23">
        <v>24605.88</v>
      </c>
    </row>
    <row r="49" spans="1:8">
      <c r="A49" s="27">
        <v>45210</v>
      </c>
      <c r="B49" s="23" t="s">
        <v>1537</v>
      </c>
      <c r="C49" s="23" t="s">
        <v>2552</v>
      </c>
      <c r="D49" s="23" t="s">
        <v>3662</v>
      </c>
      <c r="E49" s="23" t="s">
        <v>3657</v>
      </c>
      <c r="F49" s="23">
        <v>16</v>
      </c>
      <c r="G49" s="23">
        <v>2619.73</v>
      </c>
      <c r="H49" s="23">
        <v>41915.68</v>
      </c>
    </row>
    <row r="50" spans="1:8">
      <c r="A50" s="27">
        <v>45229</v>
      </c>
      <c r="B50" s="23" t="s">
        <v>1537</v>
      </c>
      <c r="C50" s="23" t="s">
        <v>2552</v>
      </c>
      <c r="D50" s="23" t="s">
        <v>3662</v>
      </c>
      <c r="E50" s="23" t="s">
        <v>1517</v>
      </c>
      <c r="F50" s="23">
        <v>5</v>
      </c>
      <c r="G50" s="23">
        <v>3103.12</v>
      </c>
      <c r="H50" s="23">
        <v>15515.6</v>
      </c>
    </row>
    <row r="51" spans="1:8">
      <c r="A51" s="27">
        <v>45166</v>
      </c>
      <c r="B51" s="23" t="s">
        <v>1537</v>
      </c>
      <c r="C51" s="23" t="s">
        <v>2550</v>
      </c>
      <c r="D51" s="23" t="s">
        <v>3661</v>
      </c>
      <c r="E51" s="23" t="s">
        <v>1517</v>
      </c>
      <c r="F51" s="23">
        <v>19</v>
      </c>
      <c r="G51" s="23">
        <v>3074.32</v>
      </c>
      <c r="H51" s="23">
        <v>58412.08</v>
      </c>
    </row>
    <row r="52" spans="1:8">
      <c r="A52" s="27">
        <v>45131</v>
      </c>
      <c r="B52" s="23" t="s">
        <v>1537</v>
      </c>
      <c r="C52" s="23" t="s">
        <v>2550</v>
      </c>
      <c r="D52" s="23" t="s">
        <v>3661</v>
      </c>
      <c r="E52" s="23" t="s">
        <v>1516</v>
      </c>
      <c r="F52" s="23">
        <v>20</v>
      </c>
      <c r="G52" s="23">
        <v>3331.04</v>
      </c>
      <c r="H52" s="23">
        <v>66620.800000000003</v>
      </c>
    </row>
    <row r="53" spans="1:8">
      <c r="A53" s="27">
        <v>45260</v>
      </c>
      <c r="B53" s="23" t="s">
        <v>1538</v>
      </c>
      <c r="C53" s="23" t="s">
        <v>2551</v>
      </c>
      <c r="D53" s="23" t="s">
        <v>3659</v>
      </c>
      <c r="E53" s="23" t="s">
        <v>1518</v>
      </c>
      <c r="F53" s="23">
        <v>7</v>
      </c>
      <c r="G53" s="23">
        <v>4813.28</v>
      </c>
      <c r="H53" s="23">
        <v>33692.959999999999</v>
      </c>
    </row>
    <row r="54" spans="1:8">
      <c r="A54" s="27">
        <v>45177</v>
      </c>
      <c r="B54" s="23" t="s">
        <v>1535</v>
      </c>
      <c r="C54" s="23" t="s">
        <v>2548</v>
      </c>
      <c r="D54" s="23" t="s">
        <v>3663</v>
      </c>
      <c r="E54" s="23" t="s">
        <v>1517</v>
      </c>
      <c r="F54" s="23">
        <v>18</v>
      </c>
      <c r="G54" s="23">
        <v>1376.52</v>
      </c>
      <c r="H54" s="23">
        <v>24777.360000000001</v>
      </c>
    </row>
    <row r="55" spans="1:8">
      <c r="A55" s="27">
        <v>45156</v>
      </c>
      <c r="B55" s="23" t="s">
        <v>1535</v>
      </c>
      <c r="C55" s="23" t="s">
        <v>2549</v>
      </c>
      <c r="D55" s="23" t="s">
        <v>3654</v>
      </c>
      <c r="E55" s="23" t="s">
        <v>1516</v>
      </c>
      <c r="F55" s="23">
        <v>12</v>
      </c>
      <c r="G55" s="23">
        <v>3400.71</v>
      </c>
      <c r="H55" s="23">
        <v>40808.519999999997</v>
      </c>
    </row>
    <row r="56" spans="1:8">
      <c r="A56" s="27">
        <v>45069</v>
      </c>
      <c r="B56" s="23" t="s">
        <v>1537</v>
      </c>
      <c r="C56" s="23" t="s">
        <v>2552</v>
      </c>
      <c r="D56" s="23" t="s">
        <v>3662</v>
      </c>
      <c r="E56" s="23" t="s">
        <v>1518</v>
      </c>
      <c r="F56" s="23">
        <v>2</v>
      </c>
      <c r="G56" s="23">
        <v>4762.71</v>
      </c>
      <c r="H56" s="23">
        <v>9525.42</v>
      </c>
    </row>
    <row r="57" spans="1:8">
      <c r="A57" s="27">
        <v>45249</v>
      </c>
      <c r="B57" s="23" t="s">
        <v>1538</v>
      </c>
      <c r="C57" s="23" t="s">
        <v>2551</v>
      </c>
      <c r="D57" s="23" t="s">
        <v>3668</v>
      </c>
      <c r="E57" s="23" t="s">
        <v>1516</v>
      </c>
      <c r="F57" s="23">
        <v>18</v>
      </c>
      <c r="G57" s="23">
        <v>2149.9899999999998</v>
      </c>
      <c r="H57" s="23">
        <v>38699.82</v>
      </c>
    </row>
    <row r="58" spans="1:8">
      <c r="A58" s="27">
        <v>44978</v>
      </c>
      <c r="B58" s="23" t="s">
        <v>1535</v>
      </c>
      <c r="C58" s="23" t="s">
        <v>2548</v>
      </c>
      <c r="D58" s="23" t="s">
        <v>3663</v>
      </c>
      <c r="E58" s="23" t="s">
        <v>1518</v>
      </c>
      <c r="F58" s="23">
        <v>13</v>
      </c>
      <c r="G58" s="23">
        <v>2665.15</v>
      </c>
      <c r="H58" s="23">
        <v>34646.949999999997</v>
      </c>
    </row>
    <row r="59" spans="1:8">
      <c r="A59" s="27">
        <v>45238</v>
      </c>
      <c r="B59" s="23" t="s">
        <v>1538</v>
      </c>
      <c r="C59" s="23" t="s">
        <v>2551</v>
      </c>
      <c r="D59" s="23" t="s">
        <v>3659</v>
      </c>
      <c r="E59" s="23" t="s">
        <v>1514</v>
      </c>
      <c r="F59" s="23">
        <v>15</v>
      </c>
      <c r="G59" s="23">
        <v>1543.85</v>
      </c>
      <c r="H59" s="23">
        <v>23157.75</v>
      </c>
    </row>
    <row r="60" spans="1:8">
      <c r="A60" s="27">
        <v>45143</v>
      </c>
      <c r="B60" s="23" t="s">
        <v>1538</v>
      </c>
      <c r="C60" s="23" t="s">
        <v>2551</v>
      </c>
      <c r="D60" s="23" t="s">
        <v>3659</v>
      </c>
      <c r="E60" s="23" t="s">
        <v>1516</v>
      </c>
      <c r="F60" s="23">
        <v>3</v>
      </c>
      <c r="G60" s="23">
        <v>3366.66</v>
      </c>
      <c r="H60" s="23">
        <v>10099.98</v>
      </c>
    </row>
    <row r="61" spans="1:8">
      <c r="A61" s="27">
        <v>45247</v>
      </c>
      <c r="B61" s="23" t="s">
        <v>1535</v>
      </c>
      <c r="C61" s="23" t="s">
        <v>2548</v>
      </c>
      <c r="D61" s="23" t="s">
        <v>3666</v>
      </c>
      <c r="E61" s="23" t="s">
        <v>1514</v>
      </c>
      <c r="F61" s="23">
        <v>19</v>
      </c>
      <c r="G61" s="23">
        <v>1809.9</v>
      </c>
      <c r="H61" s="23">
        <v>34388.1</v>
      </c>
    </row>
    <row r="62" spans="1:8">
      <c r="A62" s="27">
        <v>45002</v>
      </c>
      <c r="B62" s="23" t="s">
        <v>1537</v>
      </c>
      <c r="C62" s="23" t="s">
        <v>2552</v>
      </c>
      <c r="D62" s="23" t="s">
        <v>3667</v>
      </c>
      <c r="E62" s="23" t="s">
        <v>1518</v>
      </c>
      <c r="F62" s="23">
        <v>7</v>
      </c>
      <c r="G62" s="23">
        <v>1774.74</v>
      </c>
      <c r="H62" s="23">
        <v>12423.18</v>
      </c>
    </row>
    <row r="63" spans="1:8">
      <c r="A63" s="27">
        <v>45257</v>
      </c>
      <c r="B63" s="23" t="s">
        <v>1535</v>
      </c>
      <c r="C63" s="23" t="s">
        <v>2549</v>
      </c>
      <c r="D63" s="23" t="s">
        <v>3665</v>
      </c>
      <c r="E63" s="23" t="s">
        <v>3657</v>
      </c>
      <c r="F63" s="23">
        <v>1</v>
      </c>
      <c r="G63" s="23">
        <v>3459.33</v>
      </c>
      <c r="H63" s="23">
        <v>3459.33</v>
      </c>
    </row>
    <row r="64" spans="1:8">
      <c r="A64" s="27">
        <v>45247</v>
      </c>
      <c r="B64" s="23" t="s">
        <v>1538</v>
      </c>
      <c r="C64" s="23" t="s">
        <v>2551</v>
      </c>
      <c r="D64" s="23" t="s">
        <v>3659</v>
      </c>
      <c r="E64" s="23" t="s">
        <v>1514</v>
      </c>
      <c r="F64" s="23">
        <v>13</v>
      </c>
      <c r="G64" s="23">
        <v>4339.46</v>
      </c>
      <c r="H64" s="23">
        <v>56412.98</v>
      </c>
    </row>
    <row r="65" spans="1:8">
      <c r="A65" s="27">
        <v>44965</v>
      </c>
      <c r="B65" s="23" t="s">
        <v>1537</v>
      </c>
      <c r="C65" s="23" t="s">
        <v>2552</v>
      </c>
      <c r="D65" s="23" t="s">
        <v>3655</v>
      </c>
      <c r="E65" s="23" t="s">
        <v>3657</v>
      </c>
      <c r="F65" s="23">
        <v>17</v>
      </c>
      <c r="G65" s="23">
        <v>269.7</v>
      </c>
      <c r="H65" s="23">
        <v>4584.8999999999996</v>
      </c>
    </row>
    <row r="66" spans="1:8">
      <c r="A66" s="27">
        <v>45086</v>
      </c>
      <c r="B66" s="23" t="s">
        <v>1537</v>
      </c>
      <c r="C66" s="23" t="s">
        <v>2550</v>
      </c>
      <c r="D66" s="23" t="s">
        <v>3656</v>
      </c>
      <c r="E66" s="23" t="s">
        <v>1518</v>
      </c>
      <c r="F66" s="23">
        <v>18</v>
      </c>
      <c r="G66" s="23">
        <v>4103.6099999999997</v>
      </c>
      <c r="H66" s="23">
        <v>73864.98</v>
      </c>
    </row>
    <row r="67" spans="1:8">
      <c r="A67" s="27">
        <v>45069</v>
      </c>
      <c r="B67" s="23" t="s">
        <v>1535</v>
      </c>
      <c r="C67" s="23" t="s">
        <v>2549</v>
      </c>
      <c r="D67" s="23" t="s">
        <v>3660</v>
      </c>
      <c r="E67" s="23" t="s">
        <v>1516</v>
      </c>
      <c r="F67" s="23">
        <v>14</v>
      </c>
      <c r="G67" s="23">
        <v>2785.95</v>
      </c>
      <c r="H67" s="23">
        <v>39003.300000000003</v>
      </c>
    </row>
    <row r="68" spans="1:8">
      <c r="A68" s="27">
        <v>45062</v>
      </c>
      <c r="B68" s="23" t="s">
        <v>1535</v>
      </c>
      <c r="C68" s="23" t="s">
        <v>2549</v>
      </c>
      <c r="D68" s="23" t="s">
        <v>3654</v>
      </c>
      <c r="E68" s="23" t="s">
        <v>1518</v>
      </c>
      <c r="F68" s="23">
        <v>15</v>
      </c>
      <c r="G68" s="23">
        <v>2330.62</v>
      </c>
      <c r="H68" s="23">
        <v>34959.300000000003</v>
      </c>
    </row>
    <row r="69" spans="1:8">
      <c r="A69" s="27">
        <v>45107</v>
      </c>
      <c r="B69" s="23" t="s">
        <v>1535</v>
      </c>
      <c r="C69" s="23" t="s">
        <v>2549</v>
      </c>
      <c r="D69" s="23" t="s">
        <v>3665</v>
      </c>
      <c r="E69" s="23" t="s">
        <v>3657</v>
      </c>
      <c r="F69" s="23">
        <v>1</v>
      </c>
      <c r="G69" s="23">
        <v>3698.2</v>
      </c>
      <c r="H69" s="23">
        <v>3698.2</v>
      </c>
    </row>
    <row r="70" spans="1:8">
      <c r="A70" s="27">
        <v>45048</v>
      </c>
      <c r="B70" s="23" t="s">
        <v>1537</v>
      </c>
      <c r="C70" s="23" t="s">
        <v>2550</v>
      </c>
      <c r="D70" s="23" t="s">
        <v>3661</v>
      </c>
      <c r="E70" s="23" t="s">
        <v>1516</v>
      </c>
      <c r="F70" s="23">
        <v>16</v>
      </c>
      <c r="G70" s="23">
        <v>3586.87</v>
      </c>
      <c r="H70" s="23">
        <v>57389.919999999998</v>
      </c>
    </row>
    <row r="71" spans="1:8">
      <c r="A71" s="27">
        <v>45011</v>
      </c>
      <c r="B71" s="23" t="s">
        <v>1537</v>
      </c>
      <c r="C71" s="23" t="s">
        <v>2552</v>
      </c>
      <c r="D71" s="23" t="s">
        <v>3662</v>
      </c>
      <c r="E71" s="23" t="s">
        <v>1516</v>
      </c>
      <c r="F71" s="23">
        <v>4</v>
      </c>
      <c r="G71" s="23">
        <v>1434.97</v>
      </c>
      <c r="H71" s="23">
        <v>5739.88</v>
      </c>
    </row>
    <row r="72" spans="1:8">
      <c r="A72" s="27">
        <v>44935</v>
      </c>
      <c r="B72" s="23" t="s">
        <v>1537</v>
      </c>
      <c r="C72" s="23" t="s">
        <v>2550</v>
      </c>
      <c r="D72" s="23" t="s">
        <v>3658</v>
      </c>
      <c r="E72" s="23" t="s">
        <v>1516</v>
      </c>
      <c r="F72" s="23">
        <v>18</v>
      </c>
      <c r="G72" s="23">
        <v>4168.59</v>
      </c>
      <c r="H72" s="23">
        <v>75034.62</v>
      </c>
    </row>
    <row r="73" spans="1:8">
      <c r="A73" s="27">
        <v>45187</v>
      </c>
      <c r="B73" s="23" t="s">
        <v>1537</v>
      </c>
      <c r="C73" s="23" t="s">
        <v>2550</v>
      </c>
      <c r="D73" s="23" t="s">
        <v>3658</v>
      </c>
      <c r="E73" s="23" t="s">
        <v>1517</v>
      </c>
      <c r="F73" s="23">
        <v>7</v>
      </c>
      <c r="G73" s="23">
        <v>2706.33</v>
      </c>
      <c r="H73" s="23">
        <v>18944.310000000001</v>
      </c>
    </row>
    <row r="74" spans="1:8">
      <c r="A74" s="27">
        <v>45027</v>
      </c>
      <c r="B74" s="23" t="s">
        <v>1535</v>
      </c>
      <c r="C74" s="23" t="s">
        <v>2548</v>
      </c>
      <c r="D74" s="23" t="s">
        <v>3664</v>
      </c>
      <c r="E74" s="23" t="s">
        <v>3657</v>
      </c>
      <c r="F74" s="23">
        <v>6</v>
      </c>
      <c r="G74" s="23">
        <v>4042.16</v>
      </c>
      <c r="H74" s="23">
        <v>24252.959999999999</v>
      </c>
    </row>
    <row r="75" spans="1:8">
      <c r="A75" s="27">
        <v>45199</v>
      </c>
      <c r="B75" s="23" t="s">
        <v>1537</v>
      </c>
      <c r="C75" s="23" t="s">
        <v>2550</v>
      </c>
      <c r="D75" s="23" t="s">
        <v>3661</v>
      </c>
      <c r="E75" s="23" t="s">
        <v>1517</v>
      </c>
      <c r="F75" s="23">
        <v>10</v>
      </c>
      <c r="G75" s="23">
        <v>4496.3900000000003</v>
      </c>
      <c r="H75" s="23">
        <v>44963.9</v>
      </c>
    </row>
    <row r="76" spans="1:8">
      <c r="A76" s="27">
        <v>45278</v>
      </c>
      <c r="B76" s="23" t="s">
        <v>1537</v>
      </c>
      <c r="C76" s="23" t="s">
        <v>2550</v>
      </c>
      <c r="D76" s="23" t="s">
        <v>3656</v>
      </c>
      <c r="E76" s="23" t="s">
        <v>3657</v>
      </c>
      <c r="F76" s="23">
        <v>9</v>
      </c>
      <c r="G76" s="23">
        <v>4638.57</v>
      </c>
      <c r="H76" s="23">
        <v>41747.129999999997</v>
      </c>
    </row>
    <row r="77" spans="1:8">
      <c r="A77" s="27">
        <v>45107</v>
      </c>
      <c r="B77" s="23" t="s">
        <v>1535</v>
      </c>
      <c r="C77" s="23" t="s">
        <v>2549</v>
      </c>
      <c r="D77" s="23" t="s">
        <v>3660</v>
      </c>
      <c r="E77" s="23" t="s">
        <v>1518</v>
      </c>
      <c r="F77" s="23">
        <v>16</v>
      </c>
      <c r="G77" s="23">
        <v>494.05</v>
      </c>
      <c r="H77" s="23">
        <v>7904.8</v>
      </c>
    </row>
    <row r="78" spans="1:8">
      <c r="A78" s="27">
        <v>44932</v>
      </c>
      <c r="B78" s="23" t="s">
        <v>1537</v>
      </c>
      <c r="C78" s="23" t="s">
        <v>2552</v>
      </c>
      <c r="D78" s="23" t="s">
        <v>3662</v>
      </c>
      <c r="E78" s="23" t="s">
        <v>1514</v>
      </c>
      <c r="F78" s="23">
        <v>12</v>
      </c>
      <c r="G78" s="23">
        <v>1061.49</v>
      </c>
      <c r="H78" s="23">
        <v>12737.88</v>
      </c>
    </row>
    <row r="79" spans="1:8">
      <c r="A79" s="27">
        <v>45257</v>
      </c>
      <c r="B79" s="23" t="s">
        <v>1537</v>
      </c>
      <c r="C79" s="23" t="s">
        <v>2552</v>
      </c>
      <c r="D79" s="23" t="s">
        <v>3667</v>
      </c>
      <c r="E79" s="23" t="s">
        <v>3657</v>
      </c>
      <c r="F79" s="23">
        <v>16</v>
      </c>
      <c r="G79" s="23">
        <v>795.17</v>
      </c>
      <c r="H79" s="23">
        <v>12722.72</v>
      </c>
    </row>
    <row r="80" spans="1:8">
      <c r="A80" s="27">
        <v>45104</v>
      </c>
      <c r="B80" s="23" t="s">
        <v>1537</v>
      </c>
      <c r="C80" s="23" t="s">
        <v>2550</v>
      </c>
      <c r="D80" s="23" t="s">
        <v>3656</v>
      </c>
      <c r="E80" s="23" t="s">
        <v>1518</v>
      </c>
      <c r="F80" s="23">
        <v>14</v>
      </c>
      <c r="G80" s="23">
        <v>771.61</v>
      </c>
      <c r="H80" s="23">
        <v>10802.54</v>
      </c>
    </row>
    <row r="81" spans="1:8">
      <c r="A81" s="27">
        <v>44934</v>
      </c>
      <c r="B81" s="23" t="s">
        <v>1535</v>
      </c>
      <c r="C81" s="23" t="s">
        <v>2549</v>
      </c>
      <c r="D81" s="23" t="s">
        <v>3665</v>
      </c>
      <c r="E81" s="23" t="s">
        <v>1518</v>
      </c>
      <c r="F81" s="23">
        <v>16</v>
      </c>
      <c r="G81" s="23">
        <v>3702.43</v>
      </c>
      <c r="H81" s="23">
        <v>59238.879999999997</v>
      </c>
    </row>
    <row r="82" spans="1:8">
      <c r="A82" s="27">
        <v>45021</v>
      </c>
      <c r="B82" s="23" t="s">
        <v>1537</v>
      </c>
      <c r="C82" s="23" t="s">
        <v>2552</v>
      </c>
      <c r="D82" s="23" t="s">
        <v>3655</v>
      </c>
      <c r="E82" s="23" t="s">
        <v>1518</v>
      </c>
      <c r="F82" s="23">
        <v>4</v>
      </c>
      <c r="G82" s="23">
        <v>1456.19</v>
      </c>
      <c r="H82" s="23">
        <v>5824.76</v>
      </c>
    </row>
    <row r="83" spans="1:8">
      <c r="A83" s="27">
        <v>45112</v>
      </c>
      <c r="B83" s="23" t="s">
        <v>1537</v>
      </c>
      <c r="C83" s="23" t="s">
        <v>2550</v>
      </c>
      <c r="D83" s="23" t="s">
        <v>3661</v>
      </c>
      <c r="E83" s="23" t="s">
        <v>3657</v>
      </c>
      <c r="F83" s="23">
        <v>14</v>
      </c>
      <c r="G83" s="23">
        <v>2808.58</v>
      </c>
      <c r="H83" s="23">
        <v>39320.120000000003</v>
      </c>
    </row>
    <row r="84" spans="1:8">
      <c r="A84" s="27">
        <v>45208</v>
      </c>
      <c r="B84" s="23" t="s">
        <v>1535</v>
      </c>
      <c r="C84" s="23" t="s">
        <v>2549</v>
      </c>
      <c r="D84" s="23" t="s">
        <v>3654</v>
      </c>
      <c r="E84" s="23" t="s">
        <v>1518</v>
      </c>
      <c r="F84" s="23">
        <v>4</v>
      </c>
      <c r="G84" s="23">
        <v>1640.54</v>
      </c>
      <c r="H84" s="23">
        <v>6562.16</v>
      </c>
    </row>
    <row r="85" spans="1:8">
      <c r="A85" s="27">
        <v>45239</v>
      </c>
      <c r="B85" s="23" t="s">
        <v>1537</v>
      </c>
      <c r="C85" s="23" t="s">
        <v>2550</v>
      </c>
      <c r="D85" s="23" t="s">
        <v>3656</v>
      </c>
      <c r="E85" s="23" t="s">
        <v>1518</v>
      </c>
      <c r="F85" s="23">
        <v>15</v>
      </c>
      <c r="G85" s="23">
        <v>3909.42</v>
      </c>
      <c r="H85" s="23">
        <v>58641.3</v>
      </c>
    </row>
    <row r="86" spans="1:8">
      <c r="A86" s="27">
        <v>45155</v>
      </c>
      <c r="B86" s="23" t="s">
        <v>1537</v>
      </c>
      <c r="C86" s="23" t="s">
        <v>2552</v>
      </c>
      <c r="D86" s="23" t="s">
        <v>3662</v>
      </c>
      <c r="E86" s="23" t="s">
        <v>1516</v>
      </c>
      <c r="F86" s="23">
        <v>17</v>
      </c>
      <c r="G86" s="23">
        <v>4517.78</v>
      </c>
      <c r="H86" s="23">
        <v>76802.259999999995</v>
      </c>
    </row>
    <row r="87" spans="1:8">
      <c r="A87" s="27">
        <v>45150</v>
      </c>
      <c r="B87" s="23" t="s">
        <v>1535</v>
      </c>
      <c r="C87" s="23" t="s">
        <v>2549</v>
      </c>
      <c r="D87" s="23" t="s">
        <v>3665</v>
      </c>
      <c r="E87" s="23" t="s">
        <v>1517</v>
      </c>
      <c r="F87" s="23">
        <v>5</v>
      </c>
      <c r="G87" s="23">
        <v>4198.97</v>
      </c>
      <c r="H87" s="23">
        <v>20994.85</v>
      </c>
    </row>
    <row r="88" spans="1:8">
      <c r="A88" s="27">
        <v>45266</v>
      </c>
      <c r="B88" s="23" t="s">
        <v>1535</v>
      </c>
      <c r="C88" s="23" t="s">
        <v>2548</v>
      </c>
      <c r="D88" s="23" t="s">
        <v>3664</v>
      </c>
      <c r="E88" s="23" t="s">
        <v>1517</v>
      </c>
      <c r="F88" s="23">
        <v>14</v>
      </c>
      <c r="G88" s="23">
        <v>4839.1099999999997</v>
      </c>
      <c r="H88" s="23">
        <v>67747.539999999994</v>
      </c>
    </row>
    <row r="89" spans="1:8">
      <c r="A89" s="27">
        <v>45042</v>
      </c>
      <c r="B89" s="23" t="s">
        <v>1535</v>
      </c>
      <c r="C89" s="23" t="s">
        <v>2549</v>
      </c>
      <c r="D89" s="23" t="s">
        <v>3660</v>
      </c>
      <c r="E89" s="23" t="s">
        <v>1518</v>
      </c>
      <c r="F89" s="23">
        <v>18</v>
      </c>
      <c r="G89" s="23">
        <v>4022.66</v>
      </c>
      <c r="H89" s="23">
        <v>72407.88</v>
      </c>
    </row>
    <row r="90" spans="1:8">
      <c r="A90" s="27">
        <v>45137</v>
      </c>
      <c r="B90" s="23" t="s">
        <v>1535</v>
      </c>
      <c r="C90" s="23" t="s">
        <v>2548</v>
      </c>
      <c r="D90" s="23" t="s">
        <v>3666</v>
      </c>
      <c r="E90" s="23" t="s">
        <v>1514</v>
      </c>
      <c r="F90" s="23">
        <v>11</v>
      </c>
      <c r="G90" s="23">
        <v>1798.54</v>
      </c>
      <c r="H90" s="23">
        <v>19783.939999999999</v>
      </c>
    </row>
    <row r="91" spans="1:8">
      <c r="A91" s="27">
        <v>45175</v>
      </c>
      <c r="B91" s="23" t="s">
        <v>1535</v>
      </c>
      <c r="C91" s="23" t="s">
        <v>2548</v>
      </c>
      <c r="D91" s="23" t="s">
        <v>3664</v>
      </c>
      <c r="E91" s="23" t="s">
        <v>1516</v>
      </c>
      <c r="F91" s="23">
        <v>10</v>
      </c>
      <c r="G91" s="23">
        <v>3205.57</v>
      </c>
      <c r="H91" s="23">
        <v>32055.7</v>
      </c>
    </row>
    <row r="92" spans="1:8">
      <c r="A92" s="27">
        <v>45266</v>
      </c>
      <c r="B92" s="23" t="s">
        <v>1537</v>
      </c>
      <c r="C92" s="23" t="s">
        <v>2550</v>
      </c>
      <c r="D92" s="23" t="s">
        <v>3661</v>
      </c>
      <c r="E92" s="23" t="s">
        <v>1518</v>
      </c>
      <c r="F92" s="23">
        <v>5</v>
      </c>
      <c r="G92" s="23">
        <v>4987.84</v>
      </c>
      <c r="H92" s="23">
        <v>24939.200000000001</v>
      </c>
    </row>
    <row r="93" spans="1:8">
      <c r="A93" s="27">
        <v>44946</v>
      </c>
      <c r="B93" s="23" t="s">
        <v>1537</v>
      </c>
      <c r="C93" s="23" t="s">
        <v>2550</v>
      </c>
      <c r="D93" s="23" t="s">
        <v>3661</v>
      </c>
      <c r="E93" s="23" t="s">
        <v>1517</v>
      </c>
      <c r="F93" s="23">
        <v>14</v>
      </c>
      <c r="G93" s="23">
        <v>1507.19</v>
      </c>
      <c r="H93" s="23">
        <v>21100.66</v>
      </c>
    </row>
    <row r="94" spans="1:8">
      <c r="A94" s="27">
        <v>45219</v>
      </c>
      <c r="B94" s="23" t="s">
        <v>1535</v>
      </c>
      <c r="C94" s="23" t="s">
        <v>2549</v>
      </c>
      <c r="D94" s="23" t="s">
        <v>3654</v>
      </c>
      <c r="E94" s="23" t="s">
        <v>1518</v>
      </c>
      <c r="F94" s="23">
        <v>17</v>
      </c>
      <c r="G94" s="23">
        <v>3490.72</v>
      </c>
      <c r="H94" s="23">
        <v>59342.239999999998</v>
      </c>
    </row>
    <row r="95" spans="1:8">
      <c r="A95" s="27">
        <v>45026</v>
      </c>
      <c r="B95" s="23" t="s">
        <v>1537</v>
      </c>
      <c r="C95" s="23" t="s">
        <v>2550</v>
      </c>
      <c r="D95" s="23" t="s">
        <v>3661</v>
      </c>
      <c r="E95" s="23" t="s">
        <v>1516</v>
      </c>
      <c r="F95" s="23">
        <v>5</v>
      </c>
      <c r="G95" s="23">
        <v>3786.28</v>
      </c>
      <c r="H95" s="23">
        <v>18931.400000000001</v>
      </c>
    </row>
    <row r="96" spans="1:8">
      <c r="A96" s="27">
        <v>44974</v>
      </c>
      <c r="B96" s="23" t="s">
        <v>1537</v>
      </c>
      <c r="C96" s="23" t="s">
        <v>2552</v>
      </c>
      <c r="D96" s="23" t="s">
        <v>3662</v>
      </c>
      <c r="E96" s="23" t="s">
        <v>3657</v>
      </c>
      <c r="F96" s="23">
        <v>10</v>
      </c>
      <c r="G96" s="23">
        <v>4196.24</v>
      </c>
      <c r="H96" s="23">
        <v>41962.400000000001</v>
      </c>
    </row>
    <row r="97" spans="1:8">
      <c r="A97" s="27">
        <v>44974</v>
      </c>
      <c r="B97" s="23" t="s">
        <v>1537</v>
      </c>
      <c r="C97" s="23" t="s">
        <v>2552</v>
      </c>
      <c r="D97" s="23" t="s">
        <v>3667</v>
      </c>
      <c r="E97" s="23" t="s">
        <v>3657</v>
      </c>
      <c r="F97" s="23">
        <v>4</v>
      </c>
      <c r="G97" s="23">
        <v>1493.04</v>
      </c>
      <c r="H97" s="23">
        <v>5972.16</v>
      </c>
    </row>
    <row r="98" spans="1:8">
      <c r="A98" s="27">
        <v>45224</v>
      </c>
      <c r="B98" s="23" t="s">
        <v>1538</v>
      </c>
      <c r="C98" s="23" t="s">
        <v>2551</v>
      </c>
      <c r="D98" s="23" t="s">
        <v>3669</v>
      </c>
      <c r="E98" s="23" t="s">
        <v>1517</v>
      </c>
      <c r="F98" s="23">
        <v>16</v>
      </c>
      <c r="G98" s="23">
        <v>2502.5700000000002</v>
      </c>
      <c r="H98" s="23">
        <v>40041.120000000003</v>
      </c>
    </row>
    <row r="99" spans="1:8">
      <c r="A99" s="27">
        <v>45052</v>
      </c>
      <c r="B99" s="23" t="s">
        <v>1537</v>
      </c>
      <c r="C99" s="23" t="s">
        <v>2550</v>
      </c>
      <c r="D99" s="23" t="s">
        <v>3661</v>
      </c>
      <c r="E99" s="23" t="s">
        <v>3657</v>
      </c>
      <c r="F99" s="23">
        <v>19</v>
      </c>
      <c r="G99" s="23">
        <v>548.70000000000005</v>
      </c>
      <c r="H99" s="23">
        <v>10425.299999999999</v>
      </c>
    </row>
    <row r="100" spans="1:8">
      <c r="A100" s="27">
        <v>45149</v>
      </c>
      <c r="B100" s="23" t="s">
        <v>1537</v>
      </c>
      <c r="C100" s="23" t="s">
        <v>2550</v>
      </c>
      <c r="D100" s="23" t="s">
        <v>3658</v>
      </c>
      <c r="E100" s="23" t="s">
        <v>1516</v>
      </c>
      <c r="F100" s="23">
        <v>19</v>
      </c>
      <c r="G100" s="23">
        <v>1309.6500000000001</v>
      </c>
      <c r="H100" s="23">
        <v>24883.35</v>
      </c>
    </row>
    <row r="101" spans="1:8">
      <c r="A101" s="27">
        <v>45130</v>
      </c>
      <c r="B101" s="23" t="s">
        <v>1535</v>
      </c>
      <c r="C101" s="23" t="s">
        <v>2549</v>
      </c>
      <c r="D101" s="23" t="s">
        <v>3660</v>
      </c>
      <c r="E101" s="23" t="s">
        <v>1518</v>
      </c>
      <c r="F101" s="23">
        <v>2</v>
      </c>
      <c r="G101" s="23">
        <v>741.33</v>
      </c>
      <c r="H101" s="23">
        <v>1482.66</v>
      </c>
    </row>
    <row r="102" spans="1:8">
      <c r="A102" s="27">
        <v>45150</v>
      </c>
      <c r="B102" s="23" t="s">
        <v>1535</v>
      </c>
      <c r="C102" s="23" t="s">
        <v>2549</v>
      </c>
      <c r="D102" s="23" t="s">
        <v>3654</v>
      </c>
      <c r="E102" s="23" t="s">
        <v>1517</v>
      </c>
      <c r="F102" s="23">
        <v>3</v>
      </c>
      <c r="G102" s="23">
        <v>3957.38</v>
      </c>
      <c r="H102" s="23">
        <v>11872.14</v>
      </c>
    </row>
    <row r="103" spans="1:8">
      <c r="A103" s="27">
        <v>44939</v>
      </c>
      <c r="B103" s="23" t="s">
        <v>1535</v>
      </c>
      <c r="C103" s="23" t="s">
        <v>2549</v>
      </c>
      <c r="D103" s="23" t="s">
        <v>3665</v>
      </c>
      <c r="E103" s="23" t="s">
        <v>1516</v>
      </c>
      <c r="F103" s="23">
        <v>18</v>
      </c>
      <c r="G103" s="23">
        <v>2777.65</v>
      </c>
      <c r="H103" s="23">
        <v>49997.7</v>
      </c>
    </row>
    <row r="104" spans="1:8">
      <c r="A104" s="27">
        <v>45078</v>
      </c>
      <c r="B104" s="23" t="s">
        <v>1535</v>
      </c>
      <c r="C104" s="23" t="s">
        <v>2548</v>
      </c>
      <c r="D104" s="23" t="s">
        <v>3666</v>
      </c>
      <c r="E104" s="23" t="s">
        <v>3657</v>
      </c>
      <c r="F104" s="23">
        <v>15</v>
      </c>
      <c r="G104" s="23">
        <v>2586.8000000000002</v>
      </c>
      <c r="H104" s="23">
        <v>38802</v>
      </c>
    </row>
    <row r="105" spans="1:8">
      <c r="A105" s="27">
        <v>45184</v>
      </c>
      <c r="B105" s="23" t="s">
        <v>1537</v>
      </c>
      <c r="C105" s="23" t="s">
        <v>2552</v>
      </c>
      <c r="D105" s="23" t="s">
        <v>3655</v>
      </c>
      <c r="E105" s="23" t="s">
        <v>1516</v>
      </c>
      <c r="F105" s="23">
        <v>13</v>
      </c>
      <c r="G105" s="23">
        <v>4337.22</v>
      </c>
      <c r="H105" s="23">
        <v>56383.86</v>
      </c>
    </row>
    <row r="106" spans="1:8">
      <c r="A106" s="27">
        <v>45195</v>
      </c>
      <c r="B106" s="23" t="s">
        <v>1537</v>
      </c>
      <c r="C106" s="23" t="s">
        <v>2550</v>
      </c>
      <c r="D106" s="23" t="s">
        <v>3656</v>
      </c>
      <c r="E106" s="23" t="s">
        <v>3657</v>
      </c>
      <c r="F106" s="23">
        <v>5</v>
      </c>
      <c r="G106" s="23">
        <v>4499.88</v>
      </c>
      <c r="H106" s="23">
        <v>22499.4</v>
      </c>
    </row>
    <row r="107" spans="1:8">
      <c r="A107" s="27">
        <v>45244</v>
      </c>
      <c r="B107" s="23" t="s">
        <v>1535</v>
      </c>
      <c r="C107" s="23" t="s">
        <v>2549</v>
      </c>
      <c r="D107" s="23" t="s">
        <v>3660</v>
      </c>
      <c r="E107" s="23" t="s">
        <v>1518</v>
      </c>
      <c r="F107" s="23">
        <v>13</v>
      </c>
      <c r="G107" s="23">
        <v>4357.0200000000004</v>
      </c>
      <c r="H107" s="23">
        <v>56641.26</v>
      </c>
    </row>
    <row r="108" spans="1:8">
      <c r="A108" s="27">
        <v>44949</v>
      </c>
      <c r="B108" s="23" t="s">
        <v>1535</v>
      </c>
      <c r="C108" s="23" t="s">
        <v>2549</v>
      </c>
      <c r="D108" s="23" t="s">
        <v>3654</v>
      </c>
      <c r="E108" s="23" t="s">
        <v>1516</v>
      </c>
      <c r="F108" s="23">
        <v>9</v>
      </c>
      <c r="G108" s="23">
        <v>808.93</v>
      </c>
      <c r="H108" s="23">
        <v>7280.37</v>
      </c>
    </row>
    <row r="109" spans="1:8">
      <c r="A109" s="27">
        <v>44962</v>
      </c>
      <c r="B109" s="23" t="s">
        <v>1535</v>
      </c>
      <c r="C109" s="23" t="s">
        <v>2549</v>
      </c>
      <c r="D109" s="23" t="s">
        <v>3665</v>
      </c>
      <c r="E109" s="23" t="s">
        <v>1518</v>
      </c>
      <c r="F109" s="23">
        <v>9</v>
      </c>
      <c r="G109" s="23">
        <v>2267.7199999999998</v>
      </c>
      <c r="H109" s="23">
        <v>20409.48</v>
      </c>
    </row>
    <row r="110" spans="1:8">
      <c r="A110" s="27">
        <v>45206</v>
      </c>
      <c r="B110" s="23" t="s">
        <v>1537</v>
      </c>
      <c r="C110" s="23" t="s">
        <v>2552</v>
      </c>
      <c r="D110" s="23" t="s">
        <v>3667</v>
      </c>
      <c r="E110" s="23" t="s">
        <v>1514</v>
      </c>
      <c r="F110" s="23">
        <v>13</v>
      </c>
      <c r="G110" s="23">
        <v>2238.96</v>
      </c>
      <c r="H110" s="23">
        <v>29106.48</v>
      </c>
    </row>
    <row r="111" spans="1:8">
      <c r="A111" s="27">
        <v>45183</v>
      </c>
      <c r="B111" s="23" t="s">
        <v>1535</v>
      </c>
      <c r="C111" s="23" t="s">
        <v>2548</v>
      </c>
      <c r="D111" s="23" t="s">
        <v>3666</v>
      </c>
      <c r="E111" s="23" t="s">
        <v>1518</v>
      </c>
      <c r="F111" s="23">
        <v>3</v>
      </c>
      <c r="G111" s="23">
        <v>4195.66</v>
      </c>
      <c r="H111" s="23">
        <v>12586.98</v>
      </c>
    </row>
    <row r="112" spans="1:8">
      <c r="A112" s="27">
        <v>45046</v>
      </c>
      <c r="B112" s="23" t="s">
        <v>1538</v>
      </c>
      <c r="C112" s="23" t="s">
        <v>2551</v>
      </c>
      <c r="D112" s="23" t="s">
        <v>3668</v>
      </c>
      <c r="E112" s="23" t="s">
        <v>1517</v>
      </c>
      <c r="F112" s="23">
        <v>6</v>
      </c>
      <c r="G112" s="23">
        <v>1508.35</v>
      </c>
      <c r="H112" s="23">
        <v>9050.1</v>
      </c>
    </row>
    <row r="113" spans="1:8">
      <c r="A113" s="27">
        <v>44953</v>
      </c>
      <c r="B113" s="23" t="s">
        <v>1538</v>
      </c>
      <c r="C113" s="23" t="s">
        <v>2551</v>
      </c>
      <c r="D113" s="23" t="s">
        <v>3668</v>
      </c>
      <c r="E113" s="23" t="s">
        <v>1517</v>
      </c>
      <c r="F113" s="23">
        <v>8</v>
      </c>
      <c r="G113" s="23">
        <v>1314.71</v>
      </c>
      <c r="H113" s="23">
        <v>10517.68</v>
      </c>
    </row>
    <row r="114" spans="1:8">
      <c r="A114" s="27">
        <v>45009</v>
      </c>
      <c r="B114" s="23" t="s">
        <v>1535</v>
      </c>
      <c r="C114" s="23" t="s">
        <v>2548</v>
      </c>
      <c r="D114" s="23" t="s">
        <v>3666</v>
      </c>
      <c r="E114" s="23" t="s">
        <v>3657</v>
      </c>
      <c r="F114" s="23">
        <v>11</v>
      </c>
      <c r="G114" s="23">
        <v>1435.18</v>
      </c>
      <c r="H114" s="23">
        <v>15786.98</v>
      </c>
    </row>
    <row r="115" spans="1:8">
      <c r="A115" s="27">
        <v>45274</v>
      </c>
      <c r="B115" s="23" t="s">
        <v>1535</v>
      </c>
      <c r="C115" s="23" t="s">
        <v>2548</v>
      </c>
      <c r="D115" s="23" t="s">
        <v>3666</v>
      </c>
      <c r="E115" s="23" t="s">
        <v>1517</v>
      </c>
      <c r="F115" s="23">
        <v>11</v>
      </c>
      <c r="G115" s="23">
        <v>4188.37</v>
      </c>
      <c r="H115" s="23">
        <v>46072.07</v>
      </c>
    </row>
    <row r="116" spans="1:8">
      <c r="A116" s="27">
        <v>45068</v>
      </c>
      <c r="B116" s="23" t="s">
        <v>1538</v>
      </c>
      <c r="C116" s="23" t="s">
        <v>2551</v>
      </c>
      <c r="D116" s="23" t="s">
        <v>3668</v>
      </c>
      <c r="E116" s="23" t="s">
        <v>1517</v>
      </c>
      <c r="F116" s="23">
        <v>1</v>
      </c>
      <c r="G116" s="23">
        <v>4859.6499999999996</v>
      </c>
      <c r="H116" s="23">
        <v>4859.6499999999996</v>
      </c>
    </row>
    <row r="117" spans="1:8">
      <c r="A117" s="27">
        <v>45062</v>
      </c>
      <c r="B117" s="23" t="s">
        <v>1537</v>
      </c>
      <c r="C117" s="23" t="s">
        <v>2552</v>
      </c>
      <c r="D117" s="23" t="s">
        <v>3667</v>
      </c>
      <c r="E117" s="23" t="s">
        <v>1516</v>
      </c>
      <c r="F117" s="23">
        <v>18</v>
      </c>
      <c r="G117" s="23">
        <v>3913.42</v>
      </c>
      <c r="H117" s="23">
        <v>70441.56</v>
      </c>
    </row>
    <row r="118" spans="1:8">
      <c r="A118" s="27">
        <v>45029</v>
      </c>
      <c r="B118" s="23" t="s">
        <v>1537</v>
      </c>
      <c r="C118" s="23" t="s">
        <v>2552</v>
      </c>
      <c r="D118" s="23" t="s">
        <v>3667</v>
      </c>
      <c r="E118" s="23" t="s">
        <v>1514</v>
      </c>
      <c r="F118" s="23">
        <v>8</v>
      </c>
      <c r="G118" s="23">
        <v>4402.3599999999997</v>
      </c>
      <c r="H118" s="23">
        <v>35218.879999999997</v>
      </c>
    </row>
    <row r="119" spans="1:8">
      <c r="A119" s="27">
        <v>45092</v>
      </c>
      <c r="B119" s="23" t="s">
        <v>1535</v>
      </c>
      <c r="C119" s="23" t="s">
        <v>2549</v>
      </c>
      <c r="D119" s="23" t="s">
        <v>3654</v>
      </c>
      <c r="E119" s="23" t="s">
        <v>1516</v>
      </c>
      <c r="F119" s="23">
        <v>19</v>
      </c>
      <c r="G119" s="23">
        <v>1965.12</v>
      </c>
      <c r="H119" s="23">
        <v>37337.279999999999</v>
      </c>
    </row>
    <row r="120" spans="1:8">
      <c r="A120" s="27">
        <v>45154</v>
      </c>
      <c r="B120" s="23" t="s">
        <v>1535</v>
      </c>
      <c r="C120" s="23" t="s">
        <v>2548</v>
      </c>
      <c r="D120" s="23" t="s">
        <v>3666</v>
      </c>
      <c r="E120" s="23" t="s">
        <v>1517</v>
      </c>
      <c r="F120" s="23">
        <v>11</v>
      </c>
      <c r="G120" s="23">
        <v>2522.63</v>
      </c>
      <c r="H120" s="23">
        <v>27748.93</v>
      </c>
    </row>
    <row r="121" spans="1:8">
      <c r="A121" s="27">
        <v>45188</v>
      </c>
      <c r="B121" s="23" t="s">
        <v>1535</v>
      </c>
      <c r="C121" s="23" t="s">
        <v>2548</v>
      </c>
      <c r="D121" s="23" t="s">
        <v>3664</v>
      </c>
      <c r="E121" s="23" t="s">
        <v>1514</v>
      </c>
      <c r="F121" s="23">
        <v>19</v>
      </c>
      <c r="G121" s="23">
        <v>2493.0300000000002</v>
      </c>
      <c r="H121" s="23">
        <v>47367.57</v>
      </c>
    </row>
    <row r="122" spans="1:8">
      <c r="A122" s="27">
        <v>45268</v>
      </c>
      <c r="B122" s="23" t="s">
        <v>1537</v>
      </c>
      <c r="C122" s="23" t="s">
        <v>2552</v>
      </c>
      <c r="D122" s="23" t="s">
        <v>3667</v>
      </c>
      <c r="E122" s="23" t="s">
        <v>3657</v>
      </c>
      <c r="F122" s="23">
        <v>16</v>
      </c>
      <c r="G122" s="23">
        <v>3895.18</v>
      </c>
      <c r="H122" s="23">
        <v>62322.879999999997</v>
      </c>
    </row>
    <row r="123" spans="1:8">
      <c r="A123" s="27">
        <v>45166</v>
      </c>
      <c r="B123" s="23" t="s">
        <v>1537</v>
      </c>
      <c r="C123" s="23" t="s">
        <v>2552</v>
      </c>
      <c r="D123" s="23" t="s">
        <v>3667</v>
      </c>
      <c r="E123" s="23" t="s">
        <v>1516</v>
      </c>
      <c r="F123" s="23">
        <v>2</v>
      </c>
      <c r="G123" s="23">
        <v>1827.28</v>
      </c>
      <c r="H123" s="23">
        <v>3654.56</v>
      </c>
    </row>
    <row r="124" spans="1:8">
      <c r="A124" s="27">
        <v>44952</v>
      </c>
      <c r="B124" s="23" t="s">
        <v>1535</v>
      </c>
      <c r="C124" s="23" t="s">
        <v>2548</v>
      </c>
      <c r="D124" s="23" t="s">
        <v>3663</v>
      </c>
      <c r="E124" s="23" t="s">
        <v>1514</v>
      </c>
      <c r="F124" s="23">
        <v>13</v>
      </c>
      <c r="G124" s="23">
        <v>1753.48</v>
      </c>
      <c r="H124" s="23">
        <v>22795.24</v>
      </c>
    </row>
    <row r="125" spans="1:8">
      <c r="A125" s="27">
        <v>45124</v>
      </c>
      <c r="B125" s="23" t="s">
        <v>1537</v>
      </c>
      <c r="C125" s="23" t="s">
        <v>2552</v>
      </c>
      <c r="D125" s="23" t="s">
        <v>3667</v>
      </c>
      <c r="E125" s="23" t="s">
        <v>1517</v>
      </c>
      <c r="F125" s="23">
        <v>16</v>
      </c>
      <c r="G125" s="23">
        <v>971.39</v>
      </c>
      <c r="H125" s="23">
        <v>15542.24</v>
      </c>
    </row>
    <row r="126" spans="1:8">
      <c r="A126" s="27">
        <v>45214</v>
      </c>
      <c r="B126" s="23" t="s">
        <v>1537</v>
      </c>
      <c r="C126" s="23" t="s">
        <v>2550</v>
      </c>
      <c r="D126" s="23" t="s">
        <v>3658</v>
      </c>
      <c r="E126" s="23" t="s">
        <v>1514</v>
      </c>
      <c r="F126" s="23">
        <v>15</v>
      </c>
      <c r="G126" s="23">
        <v>346.45</v>
      </c>
      <c r="H126" s="23">
        <v>5196.75</v>
      </c>
    </row>
    <row r="127" spans="1:8">
      <c r="A127" s="27">
        <v>45249</v>
      </c>
      <c r="B127" s="23" t="s">
        <v>1535</v>
      </c>
      <c r="C127" s="23" t="s">
        <v>2548</v>
      </c>
      <c r="D127" s="23" t="s">
        <v>3664</v>
      </c>
      <c r="E127" s="23" t="s">
        <v>1518</v>
      </c>
      <c r="F127" s="23">
        <v>12</v>
      </c>
      <c r="G127" s="23">
        <v>186.62</v>
      </c>
      <c r="H127" s="23">
        <v>2239.44</v>
      </c>
    </row>
    <row r="128" spans="1:8">
      <c r="A128" s="27">
        <v>45010</v>
      </c>
      <c r="B128" s="23" t="s">
        <v>1538</v>
      </c>
      <c r="C128" s="23" t="s">
        <v>2551</v>
      </c>
      <c r="D128" s="23" t="s">
        <v>3659</v>
      </c>
      <c r="E128" s="23" t="s">
        <v>3657</v>
      </c>
      <c r="F128" s="23">
        <v>4</v>
      </c>
      <c r="G128" s="23">
        <v>431.75</v>
      </c>
      <c r="H128" s="23">
        <v>1727</v>
      </c>
    </row>
    <row r="129" spans="1:8">
      <c r="A129" s="27">
        <v>45290</v>
      </c>
      <c r="B129" s="23" t="s">
        <v>1537</v>
      </c>
      <c r="C129" s="23" t="s">
        <v>2552</v>
      </c>
      <c r="D129" s="23" t="s">
        <v>3662</v>
      </c>
      <c r="E129" s="23" t="s">
        <v>1517</v>
      </c>
      <c r="F129" s="23">
        <v>19</v>
      </c>
      <c r="G129" s="23">
        <v>4411.57</v>
      </c>
      <c r="H129" s="23">
        <v>83819.83</v>
      </c>
    </row>
    <row r="130" spans="1:8">
      <c r="A130" s="27">
        <v>44943</v>
      </c>
      <c r="B130" s="23" t="s">
        <v>1537</v>
      </c>
      <c r="C130" s="23" t="s">
        <v>2552</v>
      </c>
      <c r="D130" s="23" t="s">
        <v>3655</v>
      </c>
      <c r="E130" s="23" t="s">
        <v>1514</v>
      </c>
      <c r="F130" s="23">
        <v>8</v>
      </c>
      <c r="G130" s="23">
        <v>918.76</v>
      </c>
      <c r="H130" s="23">
        <v>7350.08</v>
      </c>
    </row>
    <row r="131" spans="1:8">
      <c r="A131" s="27">
        <v>45096</v>
      </c>
      <c r="B131" s="23" t="s">
        <v>1535</v>
      </c>
      <c r="C131" s="23" t="s">
        <v>2548</v>
      </c>
      <c r="D131" s="23" t="s">
        <v>3666</v>
      </c>
      <c r="E131" s="23" t="s">
        <v>1518</v>
      </c>
      <c r="F131" s="23">
        <v>13</v>
      </c>
      <c r="G131" s="23">
        <v>1767.86</v>
      </c>
      <c r="H131" s="23">
        <v>22982.18</v>
      </c>
    </row>
    <row r="132" spans="1:8">
      <c r="A132" s="27">
        <v>45167</v>
      </c>
      <c r="B132" s="23" t="s">
        <v>1537</v>
      </c>
      <c r="C132" s="23" t="s">
        <v>2552</v>
      </c>
      <c r="D132" s="23" t="s">
        <v>3667</v>
      </c>
      <c r="E132" s="23" t="s">
        <v>1517</v>
      </c>
      <c r="F132" s="23">
        <v>13</v>
      </c>
      <c r="G132" s="23">
        <v>4650.74</v>
      </c>
      <c r="H132" s="23">
        <v>60459.62</v>
      </c>
    </row>
    <row r="133" spans="1:8">
      <c r="A133" s="27">
        <v>45142</v>
      </c>
      <c r="B133" s="23" t="s">
        <v>1537</v>
      </c>
      <c r="C133" s="23" t="s">
        <v>2552</v>
      </c>
      <c r="D133" s="23" t="s">
        <v>3667</v>
      </c>
      <c r="E133" s="23" t="s">
        <v>1517</v>
      </c>
      <c r="F133" s="23">
        <v>3</v>
      </c>
      <c r="G133" s="23">
        <v>4876.51</v>
      </c>
      <c r="H133" s="23">
        <v>14629.53</v>
      </c>
    </row>
    <row r="134" spans="1:8">
      <c r="A134" s="27">
        <v>45200</v>
      </c>
      <c r="B134" s="23" t="s">
        <v>1537</v>
      </c>
      <c r="C134" s="23" t="s">
        <v>2552</v>
      </c>
      <c r="D134" s="23" t="s">
        <v>3667</v>
      </c>
      <c r="E134" s="23" t="s">
        <v>3657</v>
      </c>
      <c r="F134" s="23">
        <v>16</v>
      </c>
      <c r="G134" s="23">
        <v>4354.03</v>
      </c>
      <c r="H134" s="23">
        <v>69664.479999999996</v>
      </c>
    </row>
    <row r="135" spans="1:8">
      <c r="A135" s="27">
        <v>45212</v>
      </c>
      <c r="B135" s="23" t="s">
        <v>1537</v>
      </c>
      <c r="C135" s="23" t="s">
        <v>2550</v>
      </c>
      <c r="D135" s="23" t="s">
        <v>3656</v>
      </c>
      <c r="E135" s="23" t="s">
        <v>1518</v>
      </c>
      <c r="F135" s="23">
        <v>16</v>
      </c>
      <c r="G135" s="23">
        <v>2682.3</v>
      </c>
      <c r="H135" s="23">
        <v>42916.800000000003</v>
      </c>
    </row>
    <row r="136" spans="1:8">
      <c r="A136" s="27">
        <v>45010</v>
      </c>
      <c r="B136" s="23" t="s">
        <v>1535</v>
      </c>
      <c r="C136" s="23" t="s">
        <v>2549</v>
      </c>
      <c r="D136" s="23" t="s">
        <v>3665</v>
      </c>
      <c r="E136" s="23" t="s">
        <v>1518</v>
      </c>
      <c r="F136" s="23">
        <v>16</v>
      </c>
      <c r="G136" s="23">
        <v>328.65</v>
      </c>
      <c r="H136" s="23">
        <v>5258.4</v>
      </c>
    </row>
    <row r="137" spans="1:8">
      <c r="A137" s="27">
        <v>45251</v>
      </c>
      <c r="B137" s="23" t="s">
        <v>1535</v>
      </c>
      <c r="C137" s="23" t="s">
        <v>2549</v>
      </c>
      <c r="D137" s="23" t="s">
        <v>3660</v>
      </c>
      <c r="E137" s="23" t="s">
        <v>1516</v>
      </c>
      <c r="F137" s="23">
        <v>13</v>
      </c>
      <c r="G137" s="23">
        <v>1198.5</v>
      </c>
      <c r="H137" s="23">
        <v>15580.5</v>
      </c>
    </row>
    <row r="138" spans="1:8">
      <c r="A138" s="27">
        <v>45116</v>
      </c>
      <c r="B138" s="23" t="s">
        <v>1538</v>
      </c>
      <c r="C138" s="23" t="s">
        <v>2551</v>
      </c>
      <c r="D138" s="23" t="s">
        <v>3659</v>
      </c>
      <c r="E138" s="23" t="s">
        <v>1516</v>
      </c>
      <c r="F138" s="23">
        <v>17</v>
      </c>
      <c r="G138" s="23">
        <v>3679.89</v>
      </c>
      <c r="H138" s="23">
        <v>62558.13</v>
      </c>
    </row>
    <row r="139" spans="1:8">
      <c r="A139" s="27">
        <v>45080</v>
      </c>
      <c r="B139" s="23" t="s">
        <v>1537</v>
      </c>
      <c r="C139" s="23" t="s">
        <v>2550</v>
      </c>
      <c r="D139" s="23" t="s">
        <v>3656</v>
      </c>
      <c r="E139" s="23" t="s">
        <v>1516</v>
      </c>
      <c r="F139" s="23">
        <v>1</v>
      </c>
      <c r="G139" s="23">
        <v>696.38</v>
      </c>
      <c r="H139" s="23">
        <v>696.38</v>
      </c>
    </row>
    <row r="140" spans="1:8">
      <c r="A140" s="27">
        <v>45089</v>
      </c>
      <c r="B140" s="23" t="s">
        <v>1537</v>
      </c>
      <c r="C140" s="23" t="s">
        <v>2550</v>
      </c>
      <c r="D140" s="23" t="s">
        <v>3656</v>
      </c>
      <c r="E140" s="23" t="s">
        <v>1518</v>
      </c>
      <c r="F140" s="23">
        <v>13</v>
      </c>
      <c r="G140" s="23">
        <v>3551.21</v>
      </c>
      <c r="H140" s="23">
        <v>46165.73</v>
      </c>
    </row>
    <row r="141" spans="1:8">
      <c r="A141" s="27">
        <v>45231</v>
      </c>
      <c r="B141" s="23" t="s">
        <v>1537</v>
      </c>
      <c r="C141" s="23" t="s">
        <v>2550</v>
      </c>
      <c r="D141" s="23" t="s">
        <v>3661</v>
      </c>
      <c r="E141" s="23" t="s">
        <v>1514</v>
      </c>
      <c r="F141" s="23">
        <v>18</v>
      </c>
      <c r="G141" s="23">
        <v>262.12</v>
      </c>
      <c r="H141" s="23">
        <v>4718.16</v>
      </c>
    </row>
    <row r="142" spans="1:8">
      <c r="A142" s="27">
        <v>45266</v>
      </c>
      <c r="B142" s="23" t="s">
        <v>1537</v>
      </c>
      <c r="C142" s="23" t="s">
        <v>2552</v>
      </c>
      <c r="D142" s="23" t="s">
        <v>3655</v>
      </c>
      <c r="E142" s="23" t="s">
        <v>1514</v>
      </c>
      <c r="F142" s="23">
        <v>16</v>
      </c>
      <c r="G142" s="23">
        <v>3897.57</v>
      </c>
      <c r="H142" s="23">
        <v>62361.120000000003</v>
      </c>
    </row>
    <row r="143" spans="1:8">
      <c r="A143" s="27">
        <v>45033</v>
      </c>
      <c r="B143" s="23" t="s">
        <v>1537</v>
      </c>
      <c r="C143" s="23" t="s">
        <v>2552</v>
      </c>
      <c r="D143" s="23" t="s">
        <v>3662</v>
      </c>
      <c r="E143" s="23" t="s">
        <v>1516</v>
      </c>
      <c r="F143" s="23">
        <v>1</v>
      </c>
      <c r="G143" s="23">
        <v>3042.8</v>
      </c>
      <c r="H143" s="23">
        <v>3042.8</v>
      </c>
    </row>
    <row r="144" spans="1:8">
      <c r="A144" s="27">
        <v>45258</v>
      </c>
      <c r="B144" s="23" t="s">
        <v>1535</v>
      </c>
      <c r="C144" s="23" t="s">
        <v>2548</v>
      </c>
      <c r="D144" s="23" t="s">
        <v>3666</v>
      </c>
      <c r="E144" s="23" t="s">
        <v>1517</v>
      </c>
      <c r="F144" s="23">
        <v>20</v>
      </c>
      <c r="G144" s="23">
        <v>4066.74</v>
      </c>
      <c r="H144" s="23">
        <v>81334.8</v>
      </c>
    </row>
    <row r="145" spans="1:8">
      <c r="A145" s="27">
        <v>45210</v>
      </c>
      <c r="B145" s="23" t="s">
        <v>1537</v>
      </c>
      <c r="C145" s="23" t="s">
        <v>2552</v>
      </c>
      <c r="D145" s="23" t="s">
        <v>3667</v>
      </c>
      <c r="E145" s="23" t="s">
        <v>1518</v>
      </c>
      <c r="F145" s="23">
        <v>11</v>
      </c>
      <c r="G145" s="23">
        <v>4066.2</v>
      </c>
      <c r="H145" s="23">
        <v>44728.2</v>
      </c>
    </row>
    <row r="146" spans="1:8">
      <c r="A146" s="27">
        <v>44999</v>
      </c>
      <c r="B146" s="23" t="s">
        <v>1537</v>
      </c>
      <c r="C146" s="23" t="s">
        <v>2552</v>
      </c>
      <c r="D146" s="23" t="s">
        <v>3655</v>
      </c>
      <c r="E146" s="23" t="s">
        <v>1517</v>
      </c>
      <c r="F146" s="23">
        <v>19</v>
      </c>
      <c r="G146" s="23">
        <v>1398.49</v>
      </c>
      <c r="H146" s="23">
        <v>26571.31</v>
      </c>
    </row>
    <row r="147" spans="1:8">
      <c r="A147" s="27">
        <v>45108</v>
      </c>
      <c r="B147" s="23" t="s">
        <v>1535</v>
      </c>
      <c r="C147" s="23" t="s">
        <v>2549</v>
      </c>
      <c r="D147" s="23" t="s">
        <v>3654</v>
      </c>
      <c r="E147" s="23" t="s">
        <v>1517</v>
      </c>
      <c r="F147" s="23">
        <v>11</v>
      </c>
      <c r="G147" s="23">
        <v>3969.39</v>
      </c>
      <c r="H147" s="23">
        <v>43663.29</v>
      </c>
    </row>
    <row r="148" spans="1:8">
      <c r="A148" s="27">
        <v>45264</v>
      </c>
      <c r="B148" s="23" t="s">
        <v>1537</v>
      </c>
      <c r="C148" s="23" t="s">
        <v>2550</v>
      </c>
      <c r="D148" s="23" t="s">
        <v>3658</v>
      </c>
      <c r="E148" s="23" t="s">
        <v>1517</v>
      </c>
      <c r="F148" s="23">
        <v>7</v>
      </c>
      <c r="G148" s="23">
        <v>4720.63</v>
      </c>
      <c r="H148" s="23">
        <v>33044.410000000003</v>
      </c>
    </row>
    <row r="149" spans="1:8">
      <c r="A149" s="27">
        <v>45214</v>
      </c>
      <c r="B149" s="23" t="s">
        <v>1535</v>
      </c>
      <c r="C149" s="23" t="s">
        <v>2548</v>
      </c>
      <c r="D149" s="23" t="s">
        <v>3666</v>
      </c>
      <c r="E149" s="23" t="s">
        <v>1516</v>
      </c>
      <c r="F149" s="23">
        <v>1</v>
      </c>
      <c r="G149" s="23">
        <v>3658.84</v>
      </c>
      <c r="H149" s="23">
        <v>3658.84</v>
      </c>
    </row>
    <row r="150" spans="1:8">
      <c r="A150" s="27">
        <v>45083</v>
      </c>
      <c r="B150" s="23" t="s">
        <v>1535</v>
      </c>
      <c r="C150" s="23" t="s">
        <v>2549</v>
      </c>
      <c r="D150" s="23" t="s">
        <v>3660</v>
      </c>
      <c r="E150" s="23" t="s">
        <v>1516</v>
      </c>
      <c r="F150" s="23">
        <v>1</v>
      </c>
      <c r="G150" s="23">
        <v>4681.07</v>
      </c>
      <c r="H150" s="23">
        <v>4681.07</v>
      </c>
    </row>
    <row r="151" spans="1:8">
      <c r="A151" s="27">
        <v>45246</v>
      </c>
      <c r="B151" s="23" t="s">
        <v>1537</v>
      </c>
      <c r="C151" s="23" t="s">
        <v>2550</v>
      </c>
      <c r="D151" s="23" t="s">
        <v>3661</v>
      </c>
      <c r="E151" s="23" t="s">
        <v>1518</v>
      </c>
      <c r="F151" s="23">
        <v>11</v>
      </c>
      <c r="G151" s="23">
        <v>4089.16</v>
      </c>
      <c r="H151" s="23">
        <v>44980.76</v>
      </c>
    </row>
    <row r="152" spans="1:8">
      <c r="A152" s="27">
        <v>45275</v>
      </c>
      <c r="B152" s="23" t="s">
        <v>1538</v>
      </c>
      <c r="C152" s="23" t="s">
        <v>2551</v>
      </c>
      <c r="D152" s="23" t="s">
        <v>3659</v>
      </c>
      <c r="E152" s="23" t="s">
        <v>1517</v>
      </c>
      <c r="F152" s="23">
        <v>13</v>
      </c>
      <c r="G152" s="23">
        <v>3069.28</v>
      </c>
      <c r="H152" s="23">
        <v>39900.639999999999</v>
      </c>
    </row>
    <row r="153" spans="1:8">
      <c r="A153" s="27">
        <v>44992</v>
      </c>
      <c r="B153" s="23" t="s">
        <v>1537</v>
      </c>
      <c r="C153" s="23" t="s">
        <v>2550</v>
      </c>
      <c r="D153" s="23" t="s">
        <v>3658</v>
      </c>
      <c r="E153" s="23" t="s">
        <v>1516</v>
      </c>
      <c r="F153" s="23">
        <v>4</v>
      </c>
      <c r="G153" s="23">
        <v>1385.95</v>
      </c>
      <c r="H153" s="23">
        <v>5543.8</v>
      </c>
    </row>
    <row r="154" spans="1:8">
      <c r="A154" s="27">
        <v>45112</v>
      </c>
      <c r="B154" s="23" t="s">
        <v>1537</v>
      </c>
      <c r="C154" s="23" t="s">
        <v>2550</v>
      </c>
      <c r="D154" s="23" t="s">
        <v>3661</v>
      </c>
      <c r="E154" s="23" t="s">
        <v>1516</v>
      </c>
      <c r="F154" s="23">
        <v>14</v>
      </c>
      <c r="G154" s="23">
        <v>1770.36</v>
      </c>
      <c r="H154" s="23">
        <v>24785.040000000001</v>
      </c>
    </row>
    <row r="155" spans="1:8">
      <c r="A155" s="27">
        <v>44979</v>
      </c>
      <c r="B155" s="23" t="s">
        <v>1538</v>
      </c>
      <c r="C155" s="23" t="s">
        <v>2551</v>
      </c>
      <c r="D155" s="23" t="s">
        <v>3669</v>
      </c>
      <c r="E155" s="23" t="s">
        <v>1514</v>
      </c>
      <c r="F155" s="23">
        <v>3</v>
      </c>
      <c r="G155" s="23">
        <v>4020.68</v>
      </c>
      <c r="H155" s="23">
        <v>12062.04</v>
      </c>
    </row>
    <row r="156" spans="1:8">
      <c r="A156" s="27">
        <v>45004</v>
      </c>
      <c r="B156" s="23" t="s">
        <v>1535</v>
      </c>
      <c r="C156" s="23" t="s">
        <v>2549</v>
      </c>
      <c r="D156" s="23" t="s">
        <v>3660</v>
      </c>
      <c r="E156" s="23" t="s">
        <v>1514</v>
      </c>
      <c r="F156" s="23">
        <v>9</v>
      </c>
      <c r="G156" s="23">
        <v>4953.3999999999996</v>
      </c>
      <c r="H156" s="23">
        <v>44580.6</v>
      </c>
    </row>
    <row r="157" spans="1:8">
      <c r="A157" s="27">
        <v>45239</v>
      </c>
      <c r="B157" s="23" t="s">
        <v>1535</v>
      </c>
      <c r="C157" s="23" t="s">
        <v>2548</v>
      </c>
      <c r="D157" s="23" t="s">
        <v>3664</v>
      </c>
      <c r="E157" s="23" t="s">
        <v>1514</v>
      </c>
      <c r="F157" s="23">
        <v>7</v>
      </c>
      <c r="G157" s="23">
        <v>1729.24</v>
      </c>
      <c r="H157" s="23">
        <v>12104.68</v>
      </c>
    </row>
    <row r="158" spans="1:8">
      <c r="A158" s="27">
        <v>45255</v>
      </c>
      <c r="B158" s="23" t="s">
        <v>1537</v>
      </c>
      <c r="C158" s="23" t="s">
        <v>2552</v>
      </c>
      <c r="D158" s="23" t="s">
        <v>3655</v>
      </c>
      <c r="E158" s="23" t="s">
        <v>3657</v>
      </c>
      <c r="F158" s="23">
        <v>15</v>
      </c>
      <c r="G158" s="23">
        <v>534.41999999999996</v>
      </c>
      <c r="H158" s="23">
        <v>8016.3</v>
      </c>
    </row>
    <row r="159" spans="1:8">
      <c r="A159" s="27">
        <v>45186</v>
      </c>
      <c r="B159" s="23" t="s">
        <v>1538</v>
      </c>
      <c r="C159" s="23" t="s">
        <v>2551</v>
      </c>
      <c r="D159" s="23" t="s">
        <v>3669</v>
      </c>
      <c r="E159" s="23" t="s">
        <v>3657</v>
      </c>
      <c r="F159" s="23">
        <v>12</v>
      </c>
      <c r="G159" s="23">
        <v>4378.41</v>
      </c>
      <c r="H159" s="23">
        <v>52540.92</v>
      </c>
    </row>
    <row r="160" spans="1:8">
      <c r="A160" s="27">
        <v>44981</v>
      </c>
      <c r="B160" s="23" t="s">
        <v>1537</v>
      </c>
      <c r="C160" s="23" t="s">
        <v>2552</v>
      </c>
      <c r="D160" s="23" t="s">
        <v>3667</v>
      </c>
      <c r="E160" s="23" t="s">
        <v>3657</v>
      </c>
      <c r="F160" s="23">
        <v>16</v>
      </c>
      <c r="G160" s="23">
        <v>3931.95</v>
      </c>
      <c r="H160" s="23">
        <v>62911.199999999997</v>
      </c>
    </row>
    <row r="161" spans="1:8">
      <c r="A161" s="27">
        <v>45286</v>
      </c>
      <c r="B161" s="23" t="s">
        <v>1537</v>
      </c>
      <c r="C161" s="23" t="s">
        <v>2550</v>
      </c>
      <c r="D161" s="23" t="s">
        <v>3661</v>
      </c>
      <c r="E161" s="23" t="s">
        <v>1516</v>
      </c>
      <c r="F161" s="23">
        <v>20</v>
      </c>
      <c r="G161" s="23">
        <v>3751.01</v>
      </c>
      <c r="H161" s="23">
        <v>75020.2</v>
      </c>
    </row>
    <row r="162" spans="1:8">
      <c r="A162" s="27">
        <v>45008</v>
      </c>
      <c r="B162" s="23" t="s">
        <v>1538</v>
      </c>
      <c r="C162" s="23" t="s">
        <v>2551</v>
      </c>
      <c r="D162" s="23" t="s">
        <v>3668</v>
      </c>
      <c r="E162" s="23" t="s">
        <v>1516</v>
      </c>
      <c r="F162" s="23">
        <v>20</v>
      </c>
      <c r="G162" s="23">
        <v>2580.02</v>
      </c>
      <c r="H162" s="23">
        <v>51600.4</v>
      </c>
    </row>
    <row r="163" spans="1:8">
      <c r="A163" s="27">
        <v>45223</v>
      </c>
      <c r="B163" s="23" t="s">
        <v>1537</v>
      </c>
      <c r="C163" s="23" t="s">
        <v>2552</v>
      </c>
      <c r="D163" s="23" t="s">
        <v>3667</v>
      </c>
      <c r="E163" s="23" t="s">
        <v>1516</v>
      </c>
      <c r="F163" s="23">
        <v>3</v>
      </c>
      <c r="G163" s="23">
        <v>468.7</v>
      </c>
      <c r="H163" s="23">
        <v>1406.1</v>
      </c>
    </row>
    <row r="164" spans="1:8">
      <c r="A164" s="27">
        <v>45010</v>
      </c>
      <c r="B164" s="23" t="s">
        <v>1538</v>
      </c>
      <c r="C164" s="23" t="s">
        <v>2551</v>
      </c>
      <c r="D164" s="23" t="s">
        <v>3669</v>
      </c>
      <c r="E164" s="23" t="s">
        <v>1516</v>
      </c>
      <c r="F164" s="23">
        <v>6</v>
      </c>
      <c r="G164" s="23">
        <v>3125.31</v>
      </c>
      <c r="H164" s="23">
        <v>18751.86</v>
      </c>
    </row>
    <row r="165" spans="1:8">
      <c r="A165" s="27">
        <v>45077</v>
      </c>
      <c r="B165" s="23" t="s">
        <v>1535</v>
      </c>
      <c r="C165" s="23" t="s">
        <v>2548</v>
      </c>
      <c r="D165" s="23" t="s">
        <v>3664</v>
      </c>
      <c r="E165" s="23" t="s">
        <v>1516</v>
      </c>
      <c r="F165" s="23">
        <v>19</v>
      </c>
      <c r="G165" s="23">
        <v>1641.98</v>
      </c>
      <c r="H165" s="23">
        <v>31197.62</v>
      </c>
    </row>
    <row r="166" spans="1:8">
      <c r="A166" s="27">
        <v>45203</v>
      </c>
      <c r="B166" s="23" t="s">
        <v>1537</v>
      </c>
      <c r="C166" s="23" t="s">
        <v>2550</v>
      </c>
      <c r="D166" s="23" t="s">
        <v>3661</v>
      </c>
      <c r="E166" s="23" t="s">
        <v>1516</v>
      </c>
      <c r="F166" s="23">
        <v>17</v>
      </c>
      <c r="G166" s="23">
        <v>463.54</v>
      </c>
      <c r="H166" s="23">
        <v>7880.18</v>
      </c>
    </row>
    <row r="167" spans="1:8">
      <c r="A167" s="27">
        <v>45180</v>
      </c>
      <c r="B167" s="23" t="s">
        <v>1537</v>
      </c>
      <c r="C167" s="23" t="s">
        <v>2552</v>
      </c>
      <c r="D167" s="23" t="s">
        <v>3667</v>
      </c>
      <c r="E167" s="23" t="s">
        <v>1516</v>
      </c>
      <c r="F167" s="23">
        <v>17</v>
      </c>
      <c r="G167" s="23">
        <v>4088.77</v>
      </c>
      <c r="H167" s="23">
        <v>69509.09</v>
      </c>
    </row>
    <row r="168" spans="1:8">
      <c r="A168" s="27">
        <v>45202</v>
      </c>
      <c r="B168" s="23" t="s">
        <v>1537</v>
      </c>
      <c r="C168" s="23" t="s">
        <v>2552</v>
      </c>
      <c r="D168" s="23" t="s">
        <v>3655</v>
      </c>
      <c r="E168" s="23" t="s">
        <v>1514</v>
      </c>
      <c r="F168" s="23">
        <v>17</v>
      </c>
      <c r="G168" s="23">
        <v>1194.33</v>
      </c>
      <c r="H168" s="23">
        <v>20303.61</v>
      </c>
    </row>
    <row r="169" spans="1:8">
      <c r="A169" s="27">
        <v>45283</v>
      </c>
      <c r="B169" s="23" t="s">
        <v>1535</v>
      </c>
      <c r="C169" s="23" t="s">
        <v>2548</v>
      </c>
      <c r="D169" s="23" t="s">
        <v>3663</v>
      </c>
      <c r="E169" s="23" t="s">
        <v>1514</v>
      </c>
      <c r="F169" s="23">
        <v>14</v>
      </c>
      <c r="G169" s="23">
        <v>1215.6199999999999</v>
      </c>
      <c r="H169" s="23">
        <v>17018.68</v>
      </c>
    </row>
    <row r="170" spans="1:8">
      <c r="A170" s="27">
        <v>45062</v>
      </c>
      <c r="B170" s="23" t="s">
        <v>1537</v>
      </c>
      <c r="C170" s="23" t="s">
        <v>2550</v>
      </c>
      <c r="D170" s="23" t="s">
        <v>3656</v>
      </c>
      <c r="E170" s="23" t="s">
        <v>1518</v>
      </c>
      <c r="F170" s="23">
        <v>5</v>
      </c>
      <c r="G170" s="23">
        <v>4619.16</v>
      </c>
      <c r="H170" s="23">
        <v>23095.8</v>
      </c>
    </row>
    <row r="171" spans="1:8">
      <c r="A171" s="27">
        <v>44965</v>
      </c>
      <c r="B171" s="23" t="s">
        <v>1537</v>
      </c>
      <c r="C171" s="23" t="s">
        <v>2552</v>
      </c>
      <c r="D171" s="23" t="s">
        <v>3667</v>
      </c>
      <c r="E171" s="23" t="s">
        <v>1518</v>
      </c>
      <c r="F171" s="23">
        <v>6</v>
      </c>
      <c r="G171" s="23">
        <v>3277.95</v>
      </c>
      <c r="H171" s="23">
        <v>19667.7</v>
      </c>
    </row>
    <row r="172" spans="1:8">
      <c r="A172" s="27">
        <v>44929</v>
      </c>
      <c r="B172" s="23" t="s">
        <v>1535</v>
      </c>
      <c r="C172" s="23" t="s">
        <v>2548</v>
      </c>
      <c r="D172" s="23" t="s">
        <v>3663</v>
      </c>
      <c r="E172" s="23" t="s">
        <v>1517</v>
      </c>
      <c r="F172" s="23">
        <v>11</v>
      </c>
      <c r="G172" s="23">
        <v>4205.55</v>
      </c>
      <c r="H172" s="23">
        <v>46261.05</v>
      </c>
    </row>
    <row r="173" spans="1:8">
      <c r="A173" s="27">
        <v>45209</v>
      </c>
      <c r="B173" s="23" t="s">
        <v>1535</v>
      </c>
      <c r="C173" s="23" t="s">
        <v>2549</v>
      </c>
      <c r="D173" s="23" t="s">
        <v>3654</v>
      </c>
      <c r="E173" s="23" t="s">
        <v>3657</v>
      </c>
      <c r="F173" s="23">
        <v>5</v>
      </c>
      <c r="G173" s="23">
        <v>800.88</v>
      </c>
      <c r="H173" s="23">
        <v>4004.4</v>
      </c>
    </row>
    <row r="174" spans="1:8">
      <c r="A174" s="27">
        <v>45116</v>
      </c>
      <c r="B174" s="23" t="s">
        <v>1537</v>
      </c>
      <c r="C174" s="23" t="s">
        <v>2550</v>
      </c>
      <c r="D174" s="23" t="s">
        <v>3656</v>
      </c>
      <c r="E174" s="23" t="s">
        <v>1514</v>
      </c>
      <c r="F174" s="23">
        <v>4</v>
      </c>
      <c r="G174" s="23">
        <v>3022.72</v>
      </c>
      <c r="H174" s="23">
        <v>12090.88</v>
      </c>
    </row>
    <row r="175" spans="1:8">
      <c r="A175" s="27">
        <v>45285</v>
      </c>
      <c r="B175" s="23" t="s">
        <v>1535</v>
      </c>
      <c r="C175" s="23" t="s">
        <v>2548</v>
      </c>
      <c r="D175" s="23" t="s">
        <v>3664</v>
      </c>
      <c r="E175" s="23" t="s">
        <v>1518</v>
      </c>
      <c r="F175" s="23">
        <v>2</v>
      </c>
      <c r="G175" s="23">
        <v>2171.79</v>
      </c>
      <c r="H175" s="23">
        <v>4343.58</v>
      </c>
    </row>
    <row r="176" spans="1:8">
      <c r="A176" s="27">
        <v>45012</v>
      </c>
      <c r="B176" s="23" t="s">
        <v>1538</v>
      </c>
      <c r="C176" s="23" t="s">
        <v>2551</v>
      </c>
      <c r="D176" s="23" t="s">
        <v>3659</v>
      </c>
      <c r="E176" s="23" t="s">
        <v>1518</v>
      </c>
      <c r="F176" s="23">
        <v>9</v>
      </c>
      <c r="G176" s="23">
        <v>1667.06</v>
      </c>
      <c r="H176" s="23">
        <v>15003.54</v>
      </c>
    </row>
    <row r="177" spans="1:8">
      <c r="A177" s="27">
        <v>45104</v>
      </c>
      <c r="B177" s="23" t="s">
        <v>1535</v>
      </c>
      <c r="C177" s="23" t="s">
        <v>2548</v>
      </c>
      <c r="D177" s="23" t="s">
        <v>3664</v>
      </c>
      <c r="E177" s="23" t="s">
        <v>3657</v>
      </c>
      <c r="F177" s="23">
        <v>6</v>
      </c>
      <c r="G177" s="23">
        <v>1985.97</v>
      </c>
      <c r="H177" s="23">
        <v>11915.82</v>
      </c>
    </row>
    <row r="178" spans="1:8">
      <c r="A178" s="27">
        <v>44950</v>
      </c>
      <c r="B178" s="23" t="s">
        <v>1535</v>
      </c>
      <c r="C178" s="23" t="s">
        <v>2549</v>
      </c>
      <c r="D178" s="23" t="s">
        <v>3660</v>
      </c>
      <c r="E178" s="23" t="s">
        <v>1518</v>
      </c>
      <c r="F178" s="23">
        <v>15</v>
      </c>
      <c r="G178" s="23">
        <v>2706.66</v>
      </c>
      <c r="H178" s="23">
        <v>40599.9</v>
      </c>
    </row>
    <row r="179" spans="1:8">
      <c r="A179" s="27">
        <v>45193</v>
      </c>
      <c r="B179" s="23" t="s">
        <v>1537</v>
      </c>
      <c r="C179" s="23" t="s">
        <v>2550</v>
      </c>
      <c r="D179" s="23" t="s">
        <v>3661</v>
      </c>
      <c r="E179" s="23" t="s">
        <v>1517</v>
      </c>
      <c r="F179" s="23">
        <v>16</v>
      </c>
      <c r="G179" s="23">
        <v>2793.48</v>
      </c>
      <c r="H179" s="23">
        <v>44695.68</v>
      </c>
    </row>
    <row r="180" spans="1:8">
      <c r="A180" s="27">
        <v>45162</v>
      </c>
      <c r="B180" s="23" t="s">
        <v>1535</v>
      </c>
      <c r="C180" s="23" t="s">
        <v>2548</v>
      </c>
      <c r="D180" s="23" t="s">
        <v>3664</v>
      </c>
      <c r="E180" s="23" t="s">
        <v>1516</v>
      </c>
      <c r="F180" s="23">
        <v>16</v>
      </c>
      <c r="G180" s="23">
        <v>2666.78</v>
      </c>
      <c r="H180" s="23">
        <v>42668.480000000003</v>
      </c>
    </row>
    <row r="181" spans="1:8">
      <c r="A181" s="27">
        <v>45245</v>
      </c>
      <c r="B181" s="23" t="s">
        <v>1538</v>
      </c>
      <c r="C181" s="23" t="s">
        <v>2551</v>
      </c>
      <c r="D181" s="23" t="s">
        <v>3668</v>
      </c>
      <c r="E181" s="23" t="s">
        <v>3657</v>
      </c>
      <c r="F181" s="23">
        <v>13</v>
      </c>
      <c r="G181" s="23">
        <v>864.09</v>
      </c>
      <c r="H181" s="23">
        <v>11233.17</v>
      </c>
    </row>
    <row r="182" spans="1:8">
      <c r="A182" s="27">
        <v>44976</v>
      </c>
      <c r="B182" s="23" t="s">
        <v>1535</v>
      </c>
      <c r="C182" s="23" t="s">
        <v>2548</v>
      </c>
      <c r="D182" s="23" t="s">
        <v>3666</v>
      </c>
      <c r="E182" s="23" t="s">
        <v>1516</v>
      </c>
      <c r="F182" s="23">
        <v>19</v>
      </c>
      <c r="G182" s="23">
        <v>3649.75</v>
      </c>
      <c r="H182" s="23">
        <v>69345.25</v>
      </c>
    </row>
    <row r="183" spans="1:8">
      <c r="A183" s="27">
        <v>45013</v>
      </c>
      <c r="B183" s="23" t="s">
        <v>1535</v>
      </c>
      <c r="C183" s="23" t="s">
        <v>2548</v>
      </c>
      <c r="D183" s="23" t="s">
        <v>3664</v>
      </c>
      <c r="E183" s="23" t="s">
        <v>1516</v>
      </c>
      <c r="F183" s="23">
        <v>10</v>
      </c>
      <c r="G183" s="23">
        <v>4718.03</v>
      </c>
      <c r="H183" s="23">
        <v>47180.3</v>
      </c>
    </row>
    <row r="184" spans="1:8">
      <c r="A184" s="27">
        <v>45160</v>
      </c>
      <c r="B184" s="23" t="s">
        <v>1535</v>
      </c>
      <c r="C184" s="23" t="s">
        <v>2549</v>
      </c>
      <c r="D184" s="23" t="s">
        <v>3660</v>
      </c>
      <c r="E184" s="23" t="s">
        <v>1517</v>
      </c>
      <c r="F184" s="23">
        <v>5</v>
      </c>
      <c r="G184" s="23">
        <v>4386.2</v>
      </c>
      <c r="H184" s="23">
        <v>21931</v>
      </c>
    </row>
    <row r="185" spans="1:8">
      <c r="A185" s="27">
        <v>45110</v>
      </c>
      <c r="B185" s="23" t="s">
        <v>1537</v>
      </c>
      <c r="C185" s="23" t="s">
        <v>2550</v>
      </c>
      <c r="D185" s="23" t="s">
        <v>3658</v>
      </c>
      <c r="E185" s="23" t="s">
        <v>3657</v>
      </c>
      <c r="F185" s="23">
        <v>3</v>
      </c>
      <c r="G185" s="23">
        <v>2966.4</v>
      </c>
      <c r="H185" s="23">
        <v>8899.2000000000007</v>
      </c>
    </row>
    <row r="186" spans="1:8">
      <c r="A186" s="27">
        <v>45243</v>
      </c>
      <c r="B186" s="23" t="s">
        <v>1535</v>
      </c>
      <c r="C186" s="23" t="s">
        <v>2549</v>
      </c>
      <c r="D186" s="23" t="s">
        <v>3654</v>
      </c>
      <c r="E186" s="23" t="s">
        <v>1517</v>
      </c>
      <c r="F186" s="23">
        <v>12</v>
      </c>
      <c r="G186" s="23">
        <v>3074.45</v>
      </c>
      <c r="H186" s="23">
        <v>36893.4</v>
      </c>
    </row>
    <row r="187" spans="1:8">
      <c r="A187" s="27">
        <v>45118</v>
      </c>
      <c r="B187" s="23" t="s">
        <v>1537</v>
      </c>
      <c r="C187" s="23" t="s">
        <v>2550</v>
      </c>
      <c r="D187" s="23" t="s">
        <v>3661</v>
      </c>
      <c r="E187" s="23" t="s">
        <v>3657</v>
      </c>
      <c r="F187" s="23">
        <v>10</v>
      </c>
      <c r="G187" s="23">
        <v>3122.59</v>
      </c>
      <c r="H187" s="23">
        <v>31225.9</v>
      </c>
    </row>
    <row r="188" spans="1:8">
      <c r="A188" s="27">
        <v>45264</v>
      </c>
      <c r="B188" s="23" t="s">
        <v>1537</v>
      </c>
      <c r="C188" s="23" t="s">
        <v>2552</v>
      </c>
      <c r="D188" s="23" t="s">
        <v>3655</v>
      </c>
      <c r="E188" s="23" t="s">
        <v>1518</v>
      </c>
      <c r="F188" s="23">
        <v>10</v>
      </c>
      <c r="G188" s="23">
        <v>3964.05</v>
      </c>
      <c r="H188" s="23">
        <v>39640.5</v>
      </c>
    </row>
    <row r="189" spans="1:8">
      <c r="A189" s="27">
        <v>44942</v>
      </c>
      <c r="B189" s="23" t="s">
        <v>1535</v>
      </c>
      <c r="C189" s="23" t="s">
        <v>2548</v>
      </c>
      <c r="D189" s="23" t="s">
        <v>3666</v>
      </c>
      <c r="E189" s="23" t="s">
        <v>1514</v>
      </c>
      <c r="F189" s="23">
        <v>18</v>
      </c>
      <c r="G189" s="23">
        <v>3561.06</v>
      </c>
      <c r="H189" s="23">
        <v>64099.08</v>
      </c>
    </row>
    <row r="190" spans="1:8">
      <c r="A190" s="27">
        <v>45270</v>
      </c>
      <c r="B190" s="23" t="s">
        <v>1535</v>
      </c>
      <c r="C190" s="23" t="s">
        <v>2548</v>
      </c>
      <c r="D190" s="23" t="s">
        <v>3666</v>
      </c>
      <c r="E190" s="23" t="s">
        <v>1514</v>
      </c>
      <c r="F190" s="23">
        <v>4</v>
      </c>
      <c r="G190" s="23">
        <v>1208.21</v>
      </c>
      <c r="H190" s="23">
        <v>4832.84</v>
      </c>
    </row>
    <row r="191" spans="1:8">
      <c r="A191" s="27">
        <v>45252</v>
      </c>
      <c r="B191" s="23" t="s">
        <v>1538</v>
      </c>
      <c r="C191" s="23" t="s">
        <v>2551</v>
      </c>
      <c r="D191" s="23" t="s">
        <v>3659</v>
      </c>
      <c r="E191" s="23" t="s">
        <v>1518</v>
      </c>
      <c r="F191" s="23">
        <v>9</v>
      </c>
      <c r="G191" s="23">
        <v>3552.02</v>
      </c>
      <c r="H191" s="23">
        <v>31968.18</v>
      </c>
    </row>
    <row r="192" spans="1:8">
      <c r="A192" s="27">
        <v>45286</v>
      </c>
      <c r="B192" s="23" t="s">
        <v>1535</v>
      </c>
      <c r="C192" s="23" t="s">
        <v>2548</v>
      </c>
      <c r="D192" s="23" t="s">
        <v>3664</v>
      </c>
      <c r="E192" s="23" t="s">
        <v>1516</v>
      </c>
      <c r="F192" s="23">
        <v>14</v>
      </c>
      <c r="G192" s="23">
        <v>2260.17</v>
      </c>
      <c r="H192" s="23">
        <v>31642.38</v>
      </c>
    </row>
    <row r="193" spans="1:8">
      <c r="A193" s="27">
        <v>45286</v>
      </c>
      <c r="B193" s="23" t="s">
        <v>1537</v>
      </c>
      <c r="C193" s="23" t="s">
        <v>2550</v>
      </c>
      <c r="D193" s="23" t="s">
        <v>3661</v>
      </c>
      <c r="E193" s="23" t="s">
        <v>1517</v>
      </c>
      <c r="F193" s="23">
        <v>7</v>
      </c>
      <c r="G193" s="23">
        <v>2557.77</v>
      </c>
      <c r="H193" s="23">
        <v>17904.39</v>
      </c>
    </row>
    <row r="194" spans="1:8">
      <c r="A194" s="27">
        <v>45243</v>
      </c>
      <c r="B194" s="23" t="s">
        <v>1537</v>
      </c>
      <c r="C194" s="23" t="s">
        <v>2552</v>
      </c>
      <c r="D194" s="23" t="s">
        <v>3655</v>
      </c>
      <c r="E194" s="23" t="s">
        <v>1518</v>
      </c>
      <c r="F194" s="23">
        <v>2</v>
      </c>
      <c r="G194" s="23">
        <v>2914.14</v>
      </c>
      <c r="H194" s="23">
        <v>5828.28</v>
      </c>
    </row>
    <row r="195" spans="1:8">
      <c r="A195" s="27">
        <v>45269</v>
      </c>
      <c r="B195" s="23" t="s">
        <v>1538</v>
      </c>
      <c r="C195" s="23" t="s">
        <v>2551</v>
      </c>
      <c r="D195" s="23" t="s">
        <v>3669</v>
      </c>
      <c r="E195" s="23" t="s">
        <v>1518</v>
      </c>
      <c r="F195" s="23">
        <v>12</v>
      </c>
      <c r="G195" s="23">
        <v>2726.43</v>
      </c>
      <c r="H195" s="23">
        <v>32717.16</v>
      </c>
    </row>
    <row r="196" spans="1:8">
      <c r="A196" s="27">
        <v>45261</v>
      </c>
      <c r="B196" s="23" t="s">
        <v>1537</v>
      </c>
      <c r="C196" s="23" t="s">
        <v>2552</v>
      </c>
      <c r="D196" s="23" t="s">
        <v>3667</v>
      </c>
      <c r="E196" s="23" t="s">
        <v>1516</v>
      </c>
      <c r="F196" s="23">
        <v>10</v>
      </c>
      <c r="G196" s="23">
        <v>3950.06</v>
      </c>
      <c r="H196" s="23">
        <v>39500.6</v>
      </c>
    </row>
    <row r="197" spans="1:8">
      <c r="A197" s="27">
        <v>45110</v>
      </c>
      <c r="B197" s="23" t="s">
        <v>1537</v>
      </c>
      <c r="C197" s="23" t="s">
        <v>2550</v>
      </c>
      <c r="D197" s="23" t="s">
        <v>3658</v>
      </c>
      <c r="E197" s="23" t="s">
        <v>1516</v>
      </c>
      <c r="F197" s="23">
        <v>3</v>
      </c>
      <c r="G197" s="23">
        <v>4999.6899999999996</v>
      </c>
      <c r="H197" s="23">
        <v>14999.07</v>
      </c>
    </row>
    <row r="198" spans="1:8">
      <c r="A198" s="27">
        <v>45209</v>
      </c>
      <c r="B198" s="23" t="s">
        <v>1535</v>
      </c>
      <c r="C198" s="23" t="s">
        <v>2549</v>
      </c>
      <c r="D198" s="23" t="s">
        <v>3654</v>
      </c>
      <c r="E198" s="23" t="s">
        <v>1518</v>
      </c>
      <c r="F198" s="23">
        <v>15</v>
      </c>
      <c r="G198" s="23">
        <v>4657.82</v>
      </c>
      <c r="H198" s="23">
        <v>69867.3</v>
      </c>
    </row>
    <row r="199" spans="1:8">
      <c r="A199" s="27">
        <v>45108</v>
      </c>
      <c r="B199" s="23" t="s">
        <v>1537</v>
      </c>
      <c r="C199" s="23" t="s">
        <v>2550</v>
      </c>
      <c r="D199" s="23" t="s">
        <v>3661</v>
      </c>
      <c r="E199" s="23" t="s">
        <v>1517</v>
      </c>
      <c r="F199" s="23">
        <v>2</v>
      </c>
      <c r="G199" s="23">
        <v>4997.2299999999996</v>
      </c>
      <c r="H199" s="23">
        <v>9994.4599999999991</v>
      </c>
    </row>
    <row r="200" spans="1:8">
      <c r="A200" s="27">
        <v>45128</v>
      </c>
      <c r="B200" s="23" t="s">
        <v>1537</v>
      </c>
      <c r="C200" s="23" t="s">
        <v>2550</v>
      </c>
      <c r="D200" s="23" t="s">
        <v>3661</v>
      </c>
      <c r="E200" s="23" t="s">
        <v>1516</v>
      </c>
      <c r="F200" s="23">
        <v>15</v>
      </c>
      <c r="G200" s="23">
        <v>4579.29</v>
      </c>
      <c r="H200" s="23">
        <v>68689.350000000006</v>
      </c>
    </row>
    <row r="201" spans="1:8">
      <c r="A201" s="27">
        <v>45245</v>
      </c>
      <c r="B201" s="23" t="s">
        <v>1535</v>
      </c>
      <c r="C201" s="23" t="s">
        <v>2548</v>
      </c>
      <c r="D201" s="23" t="s">
        <v>3666</v>
      </c>
      <c r="E201" s="23" t="s">
        <v>1514</v>
      </c>
      <c r="F201" s="23">
        <v>5</v>
      </c>
      <c r="G201" s="23">
        <v>3619.58</v>
      </c>
      <c r="H201" s="23">
        <v>18097.900000000001</v>
      </c>
    </row>
    <row r="202" spans="1:8">
      <c r="A202" s="27">
        <v>45279</v>
      </c>
      <c r="B202" s="23" t="s">
        <v>1537</v>
      </c>
      <c r="C202" s="23" t="s">
        <v>2550</v>
      </c>
      <c r="D202" s="23" t="s">
        <v>3658</v>
      </c>
      <c r="E202" s="23" t="s">
        <v>3657</v>
      </c>
      <c r="F202" s="23">
        <v>11</v>
      </c>
      <c r="G202" s="23">
        <v>1389.59</v>
      </c>
      <c r="H202" s="23">
        <v>15285.49</v>
      </c>
    </row>
    <row r="203" spans="1:8">
      <c r="A203" s="27">
        <v>45284</v>
      </c>
      <c r="B203" s="23" t="s">
        <v>1537</v>
      </c>
      <c r="C203" s="23" t="s">
        <v>2550</v>
      </c>
      <c r="D203" s="23" t="s">
        <v>3661</v>
      </c>
      <c r="E203" s="23" t="s">
        <v>1517</v>
      </c>
      <c r="F203" s="23">
        <v>9</v>
      </c>
      <c r="G203" s="23">
        <v>1302.45</v>
      </c>
      <c r="H203" s="23">
        <v>11722.05</v>
      </c>
    </row>
    <row r="204" spans="1:8">
      <c r="A204" s="27">
        <v>45193</v>
      </c>
      <c r="B204" s="23" t="s">
        <v>1535</v>
      </c>
      <c r="C204" s="23" t="s">
        <v>2548</v>
      </c>
      <c r="D204" s="23" t="s">
        <v>3666</v>
      </c>
      <c r="E204" s="23" t="s">
        <v>1518</v>
      </c>
      <c r="F204" s="23">
        <v>10</v>
      </c>
      <c r="G204" s="23">
        <v>743.68</v>
      </c>
      <c r="H204" s="23">
        <v>7436.8</v>
      </c>
    </row>
    <row r="205" spans="1:8">
      <c r="A205" s="27">
        <v>45213</v>
      </c>
      <c r="B205" s="23" t="s">
        <v>1537</v>
      </c>
      <c r="C205" s="23" t="s">
        <v>2550</v>
      </c>
      <c r="D205" s="23" t="s">
        <v>3656</v>
      </c>
      <c r="E205" s="23" t="s">
        <v>3657</v>
      </c>
      <c r="F205" s="23">
        <v>5</v>
      </c>
      <c r="G205" s="23">
        <v>1445.72</v>
      </c>
      <c r="H205" s="23">
        <v>7228.6</v>
      </c>
    </row>
    <row r="206" spans="1:8">
      <c r="A206" s="27">
        <v>45112</v>
      </c>
      <c r="B206" s="23" t="s">
        <v>1538</v>
      </c>
      <c r="C206" s="23" t="s">
        <v>2551</v>
      </c>
      <c r="D206" s="23" t="s">
        <v>3659</v>
      </c>
      <c r="E206" s="23" t="s">
        <v>1514</v>
      </c>
      <c r="F206" s="23">
        <v>10</v>
      </c>
      <c r="G206" s="23">
        <v>3411.13</v>
      </c>
      <c r="H206" s="23">
        <v>34111.300000000003</v>
      </c>
    </row>
    <row r="207" spans="1:8">
      <c r="A207" s="27">
        <v>44999</v>
      </c>
      <c r="B207" s="23" t="s">
        <v>1538</v>
      </c>
      <c r="C207" s="23" t="s">
        <v>2551</v>
      </c>
      <c r="D207" s="23" t="s">
        <v>3659</v>
      </c>
      <c r="E207" s="23" t="s">
        <v>1518</v>
      </c>
      <c r="F207" s="23">
        <v>20</v>
      </c>
      <c r="G207" s="23">
        <v>3069.92</v>
      </c>
      <c r="H207" s="23">
        <v>61398.400000000001</v>
      </c>
    </row>
    <row r="208" spans="1:8">
      <c r="A208" s="27">
        <v>44993</v>
      </c>
      <c r="B208" s="23" t="s">
        <v>1538</v>
      </c>
      <c r="C208" s="23" t="s">
        <v>2551</v>
      </c>
      <c r="D208" s="23" t="s">
        <v>3668</v>
      </c>
      <c r="E208" s="23" t="s">
        <v>1514</v>
      </c>
      <c r="F208" s="23">
        <v>11</v>
      </c>
      <c r="G208" s="23">
        <v>377.1</v>
      </c>
      <c r="H208" s="23">
        <v>4148.1000000000004</v>
      </c>
    </row>
    <row r="209" spans="1:8">
      <c r="A209" s="27">
        <v>45080</v>
      </c>
      <c r="B209" s="23" t="s">
        <v>1537</v>
      </c>
      <c r="C209" s="23" t="s">
        <v>2552</v>
      </c>
      <c r="D209" s="23" t="s">
        <v>3667</v>
      </c>
      <c r="E209" s="23" t="s">
        <v>1516</v>
      </c>
      <c r="F209" s="23">
        <v>9</v>
      </c>
      <c r="G209" s="23">
        <v>203.38</v>
      </c>
      <c r="H209" s="23">
        <v>1830.42</v>
      </c>
    </row>
    <row r="210" spans="1:8">
      <c r="A210" s="27">
        <v>45021</v>
      </c>
      <c r="B210" s="23" t="s">
        <v>1537</v>
      </c>
      <c r="C210" s="23" t="s">
        <v>2552</v>
      </c>
      <c r="D210" s="23" t="s">
        <v>3662</v>
      </c>
      <c r="E210" s="23" t="s">
        <v>3657</v>
      </c>
      <c r="F210" s="23">
        <v>6</v>
      </c>
      <c r="G210" s="23">
        <v>3457.43</v>
      </c>
      <c r="H210" s="23">
        <v>20744.580000000002</v>
      </c>
    </row>
    <row r="211" spans="1:8">
      <c r="A211" s="27">
        <v>45154</v>
      </c>
      <c r="B211" s="23" t="s">
        <v>1535</v>
      </c>
      <c r="C211" s="23" t="s">
        <v>2549</v>
      </c>
      <c r="D211" s="23" t="s">
        <v>3660</v>
      </c>
      <c r="E211" s="23" t="s">
        <v>1517</v>
      </c>
      <c r="F211" s="23">
        <v>11</v>
      </c>
      <c r="G211" s="23">
        <v>3646.35</v>
      </c>
      <c r="H211" s="23">
        <v>40109.85</v>
      </c>
    </row>
    <row r="212" spans="1:8">
      <c r="A212" s="27">
        <v>44997</v>
      </c>
      <c r="B212" s="23" t="s">
        <v>1537</v>
      </c>
      <c r="C212" s="23" t="s">
        <v>2552</v>
      </c>
      <c r="D212" s="23" t="s">
        <v>3662</v>
      </c>
      <c r="E212" s="23" t="s">
        <v>1518</v>
      </c>
      <c r="F212" s="23">
        <v>6</v>
      </c>
      <c r="G212" s="23">
        <v>827.78</v>
      </c>
      <c r="H212" s="23">
        <v>4966.68</v>
      </c>
    </row>
    <row r="213" spans="1:8">
      <c r="A213" s="27">
        <v>44985</v>
      </c>
      <c r="B213" s="23" t="s">
        <v>1537</v>
      </c>
      <c r="C213" s="23" t="s">
        <v>2552</v>
      </c>
      <c r="D213" s="23" t="s">
        <v>3662</v>
      </c>
      <c r="E213" s="23" t="s">
        <v>1518</v>
      </c>
      <c r="F213" s="23">
        <v>18</v>
      </c>
      <c r="G213" s="23">
        <v>3102.47</v>
      </c>
      <c r="H213" s="23">
        <v>55844.46</v>
      </c>
    </row>
    <row r="214" spans="1:8">
      <c r="A214" s="27">
        <v>44975</v>
      </c>
      <c r="B214" s="23" t="s">
        <v>1535</v>
      </c>
      <c r="C214" s="23" t="s">
        <v>2548</v>
      </c>
      <c r="D214" s="23" t="s">
        <v>3663</v>
      </c>
      <c r="E214" s="23" t="s">
        <v>1518</v>
      </c>
      <c r="F214" s="23">
        <v>9</v>
      </c>
      <c r="G214" s="23">
        <v>2677.7</v>
      </c>
      <c r="H214" s="23">
        <v>24099.3</v>
      </c>
    </row>
    <row r="215" spans="1:8">
      <c r="A215" s="27">
        <v>45037</v>
      </c>
      <c r="B215" s="23" t="s">
        <v>1537</v>
      </c>
      <c r="C215" s="23" t="s">
        <v>2552</v>
      </c>
      <c r="D215" s="23" t="s">
        <v>3662</v>
      </c>
      <c r="E215" s="23" t="s">
        <v>1518</v>
      </c>
      <c r="F215" s="23">
        <v>17</v>
      </c>
      <c r="G215" s="23">
        <v>1071.3</v>
      </c>
      <c r="H215" s="23">
        <v>18212.099999999999</v>
      </c>
    </row>
    <row r="216" spans="1:8">
      <c r="A216" s="27">
        <v>45113</v>
      </c>
      <c r="B216" s="23" t="s">
        <v>1537</v>
      </c>
      <c r="C216" s="23" t="s">
        <v>2550</v>
      </c>
      <c r="D216" s="23" t="s">
        <v>3661</v>
      </c>
      <c r="E216" s="23" t="s">
        <v>3657</v>
      </c>
      <c r="F216" s="23">
        <v>9</v>
      </c>
      <c r="G216" s="23">
        <v>3395.02</v>
      </c>
      <c r="H216" s="23">
        <v>30555.18</v>
      </c>
    </row>
    <row r="217" spans="1:8">
      <c r="A217" s="27">
        <v>45161</v>
      </c>
      <c r="B217" s="23" t="s">
        <v>1537</v>
      </c>
      <c r="C217" s="23" t="s">
        <v>2550</v>
      </c>
      <c r="D217" s="23" t="s">
        <v>3661</v>
      </c>
      <c r="E217" s="23" t="s">
        <v>3657</v>
      </c>
      <c r="F217" s="23">
        <v>12</v>
      </c>
      <c r="G217" s="23">
        <v>3932.48</v>
      </c>
      <c r="H217" s="23">
        <v>47189.760000000002</v>
      </c>
    </row>
    <row r="218" spans="1:8">
      <c r="A218" s="27">
        <v>45158</v>
      </c>
      <c r="B218" s="23" t="s">
        <v>1535</v>
      </c>
      <c r="C218" s="23" t="s">
        <v>2549</v>
      </c>
      <c r="D218" s="23" t="s">
        <v>3660</v>
      </c>
      <c r="E218" s="23" t="s">
        <v>1518</v>
      </c>
      <c r="F218" s="23">
        <v>2</v>
      </c>
      <c r="G218" s="23">
        <v>3385.43</v>
      </c>
      <c r="H218" s="23">
        <v>6770.86</v>
      </c>
    </row>
    <row r="219" spans="1:8">
      <c r="A219" s="27">
        <v>44941</v>
      </c>
      <c r="B219" s="23" t="s">
        <v>1537</v>
      </c>
      <c r="C219" s="23" t="s">
        <v>2552</v>
      </c>
      <c r="D219" s="23" t="s">
        <v>3662</v>
      </c>
      <c r="E219" s="23" t="s">
        <v>1516</v>
      </c>
      <c r="F219" s="23">
        <v>7</v>
      </c>
      <c r="G219" s="23">
        <v>3070.09</v>
      </c>
      <c r="H219" s="23">
        <v>21490.63</v>
      </c>
    </row>
    <row r="220" spans="1:8">
      <c r="A220" s="27">
        <v>44929</v>
      </c>
      <c r="B220" s="23" t="s">
        <v>1535</v>
      </c>
      <c r="C220" s="23" t="s">
        <v>2548</v>
      </c>
      <c r="D220" s="23" t="s">
        <v>3666</v>
      </c>
      <c r="E220" s="23" t="s">
        <v>1516</v>
      </c>
      <c r="F220" s="23">
        <v>12</v>
      </c>
      <c r="G220" s="23">
        <v>1169.8399999999999</v>
      </c>
      <c r="H220" s="23">
        <v>14038.08</v>
      </c>
    </row>
    <row r="221" spans="1:8">
      <c r="A221" s="27">
        <v>45134</v>
      </c>
      <c r="B221" s="23" t="s">
        <v>1535</v>
      </c>
      <c r="C221" s="23" t="s">
        <v>2549</v>
      </c>
      <c r="D221" s="23" t="s">
        <v>3660</v>
      </c>
      <c r="E221" s="23" t="s">
        <v>1514</v>
      </c>
      <c r="F221" s="23">
        <v>12</v>
      </c>
      <c r="G221" s="23">
        <v>1333.81</v>
      </c>
      <c r="H221" s="23">
        <v>16005.72</v>
      </c>
    </row>
    <row r="222" spans="1:8">
      <c r="A222" s="27">
        <v>44966</v>
      </c>
      <c r="B222" s="23" t="s">
        <v>1537</v>
      </c>
      <c r="C222" s="23" t="s">
        <v>2550</v>
      </c>
      <c r="D222" s="23" t="s">
        <v>3658</v>
      </c>
      <c r="E222" s="23" t="s">
        <v>3657</v>
      </c>
      <c r="F222" s="23">
        <v>1</v>
      </c>
      <c r="G222" s="23">
        <v>3964.37</v>
      </c>
      <c r="H222" s="23">
        <v>3964.37</v>
      </c>
    </row>
    <row r="223" spans="1:8">
      <c r="A223" s="27">
        <v>45104</v>
      </c>
      <c r="B223" s="23" t="s">
        <v>1537</v>
      </c>
      <c r="C223" s="23" t="s">
        <v>2552</v>
      </c>
      <c r="D223" s="23" t="s">
        <v>3662</v>
      </c>
      <c r="E223" s="23" t="s">
        <v>1514</v>
      </c>
      <c r="F223" s="23">
        <v>8</v>
      </c>
      <c r="G223" s="23">
        <v>720.07</v>
      </c>
      <c r="H223" s="23">
        <v>5760.56</v>
      </c>
    </row>
    <row r="224" spans="1:8">
      <c r="A224" s="27">
        <v>45177</v>
      </c>
      <c r="B224" s="23" t="s">
        <v>1538</v>
      </c>
      <c r="C224" s="23" t="s">
        <v>2551</v>
      </c>
      <c r="D224" s="23" t="s">
        <v>3659</v>
      </c>
      <c r="E224" s="23" t="s">
        <v>1517</v>
      </c>
      <c r="F224" s="23">
        <v>17</v>
      </c>
      <c r="G224" s="23">
        <v>4033.84</v>
      </c>
      <c r="H224" s="23">
        <v>68575.28</v>
      </c>
    </row>
    <row r="225" spans="1:8">
      <c r="A225" s="27">
        <v>44935</v>
      </c>
      <c r="B225" s="23" t="s">
        <v>1538</v>
      </c>
      <c r="C225" s="23" t="s">
        <v>2551</v>
      </c>
      <c r="D225" s="23" t="s">
        <v>3659</v>
      </c>
      <c r="E225" s="23" t="s">
        <v>1514</v>
      </c>
      <c r="F225" s="23">
        <v>16</v>
      </c>
      <c r="G225" s="23">
        <v>3625.28</v>
      </c>
      <c r="H225" s="23">
        <v>58004.480000000003</v>
      </c>
    </row>
    <row r="226" spans="1:8">
      <c r="A226" s="27">
        <v>45118</v>
      </c>
      <c r="B226" s="23" t="s">
        <v>1537</v>
      </c>
      <c r="C226" s="23" t="s">
        <v>2552</v>
      </c>
      <c r="D226" s="23" t="s">
        <v>3655</v>
      </c>
      <c r="E226" s="23" t="s">
        <v>1514</v>
      </c>
      <c r="F226" s="23">
        <v>9</v>
      </c>
      <c r="G226" s="23">
        <v>773.71</v>
      </c>
      <c r="H226" s="23">
        <v>6963.39</v>
      </c>
    </row>
    <row r="227" spans="1:8">
      <c r="A227" s="27">
        <v>45055</v>
      </c>
      <c r="B227" s="23" t="s">
        <v>1537</v>
      </c>
      <c r="C227" s="23" t="s">
        <v>2552</v>
      </c>
      <c r="D227" s="23" t="s">
        <v>3662</v>
      </c>
      <c r="E227" s="23" t="s">
        <v>1514</v>
      </c>
      <c r="F227" s="23">
        <v>18</v>
      </c>
      <c r="G227" s="23">
        <v>696.83</v>
      </c>
      <c r="H227" s="23">
        <v>12542.94</v>
      </c>
    </row>
    <row r="228" spans="1:8">
      <c r="A228" s="27">
        <v>45031</v>
      </c>
      <c r="B228" s="23" t="s">
        <v>1537</v>
      </c>
      <c r="C228" s="23" t="s">
        <v>2550</v>
      </c>
      <c r="D228" s="23" t="s">
        <v>3658</v>
      </c>
      <c r="E228" s="23" t="s">
        <v>1517</v>
      </c>
      <c r="F228" s="23">
        <v>13</v>
      </c>
      <c r="G228" s="23">
        <v>1466.66</v>
      </c>
      <c r="H228" s="23">
        <v>19066.580000000002</v>
      </c>
    </row>
    <row r="229" spans="1:8">
      <c r="A229" s="27">
        <v>45146</v>
      </c>
      <c r="B229" s="23" t="s">
        <v>1535</v>
      </c>
      <c r="C229" s="23" t="s">
        <v>2548</v>
      </c>
      <c r="D229" s="23" t="s">
        <v>3664</v>
      </c>
      <c r="E229" s="23" t="s">
        <v>3657</v>
      </c>
      <c r="F229" s="23">
        <v>8</v>
      </c>
      <c r="G229" s="23">
        <v>1927.88</v>
      </c>
      <c r="H229" s="23">
        <v>15423.04</v>
      </c>
    </row>
    <row r="230" spans="1:8">
      <c r="A230" s="27">
        <v>45187</v>
      </c>
      <c r="B230" s="23" t="s">
        <v>1537</v>
      </c>
      <c r="C230" s="23" t="s">
        <v>2550</v>
      </c>
      <c r="D230" s="23" t="s">
        <v>3658</v>
      </c>
      <c r="E230" s="23" t="s">
        <v>3657</v>
      </c>
      <c r="F230" s="23">
        <v>12</v>
      </c>
      <c r="G230" s="23">
        <v>1947.14</v>
      </c>
      <c r="H230" s="23">
        <v>23365.68</v>
      </c>
    </row>
    <row r="231" spans="1:8">
      <c r="A231" s="27">
        <v>45029</v>
      </c>
      <c r="B231" s="23" t="s">
        <v>1537</v>
      </c>
      <c r="C231" s="23" t="s">
        <v>2550</v>
      </c>
      <c r="D231" s="23" t="s">
        <v>3661</v>
      </c>
      <c r="E231" s="23" t="s">
        <v>1517</v>
      </c>
      <c r="F231" s="23">
        <v>1</v>
      </c>
      <c r="G231" s="23">
        <v>632.39</v>
      </c>
      <c r="H231" s="23">
        <v>632.39</v>
      </c>
    </row>
    <row r="232" spans="1:8">
      <c r="A232" s="27">
        <v>45059</v>
      </c>
      <c r="B232" s="23" t="s">
        <v>1538</v>
      </c>
      <c r="C232" s="23" t="s">
        <v>2551</v>
      </c>
      <c r="D232" s="23" t="s">
        <v>3659</v>
      </c>
      <c r="E232" s="23" t="s">
        <v>3657</v>
      </c>
      <c r="F232" s="23">
        <v>10</v>
      </c>
      <c r="G232" s="23">
        <v>4092.05</v>
      </c>
      <c r="H232" s="23">
        <v>40920.5</v>
      </c>
    </row>
    <row r="233" spans="1:8">
      <c r="A233" s="27">
        <v>44986</v>
      </c>
      <c r="B233" s="23" t="s">
        <v>1535</v>
      </c>
      <c r="C233" s="23" t="s">
        <v>2548</v>
      </c>
      <c r="D233" s="23" t="s">
        <v>3664</v>
      </c>
      <c r="E233" s="23" t="s">
        <v>1514</v>
      </c>
      <c r="F233" s="23">
        <v>6</v>
      </c>
      <c r="G233" s="23">
        <v>2609.65</v>
      </c>
      <c r="H233" s="23">
        <v>15657.9</v>
      </c>
    </row>
    <row r="234" spans="1:8">
      <c r="A234" s="27">
        <v>44978</v>
      </c>
      <c r="B234" s="23" t="s">
        <v>1538</v>
      </c>
      <c r="C234" s="23" t="s">
        <v>2551</v>
      </c>
      <c r="D234" s="23" t="s">
        <v>3659</v>
      </c>
      <c r="E234" s="23" t="s">
        <v>3657</v>
      </c>
      <c r="F234" s="23">
        <v>6</v>
      </c>
      <c r="G234" s="23">
        <v>4219.6099999999997</v>
      </c>
      <c r="H234" s="23">
        <v>25317.66</v>
      </c>
    </row>
    <row r="235" spans="1:8">
      <c r="A235" s="27">
        <v>45081</v>
      </c>
      <c r="B235" s="23" t="s">
        <v>1537</v>
      </c>
      <c r="C235" s="23" t="s">
        <v>2550</v>
      </c>
      <c r="D235" s="23" t="s">
        <v>3658</v>
      </c>
      <c r="E235" s="23" t="s">
        <v>1516</v>
      </c>
      <c r="F235" s="23">
        <v>11</v>
      </c>
      <c r="G235" s="23">
        <v>1703.12</v>
      </c>
      <c r="H235" s="23">
        <v>18734.32</v>
      </c>
    </row>
    <row r="236" spans="1:8">
      <c r="A236" s="27">
        <v>44928</v>
      </c>
      <c r="B236" s="23" t="s">
        <v>1535</v>
      </c>
      <c r="C236" s="23" t="s">
        <v>2548</v>
      </c>
      <c r="D236" s="23" t="s">
        <v>3663</v>
      </c>
      <c r="E236" s="23" t="s">
        <v>3657</v>
      </c>
      <c r="F236" s="23">
        <v>11</v>
      </c>
      <c r="G236" s="23">
        <v>548.91999999999996</v>
      </c>
      <c r="H236" s="23">
        <v>6038.12</v>
      </c>
    </row>
    <row r="237" spans="1:8">
      <c r="A237" s="27">
        <v>45092</v>
      </c>
      <c r="B237" s="23" t="s">
        <v>1537</v>
      </c>
      <c r="C237" s="23" t="s">
        <v>2550</v>
      </c>
      <c r="D237" s="23" t="s">
        <v>3658</v>
      </c>
      <c r="E237" s="23" t="s">
        <v>3657</v>
      </c>
      <c r="F237" s="23">
        <v>20</v>
      </c>
      <c r="G237" s="23">
        <v>3684.86</v>
      </c>
      <c r="H237" s="23">
        <v>73697.2</v>
      </c>
    </row>
    <row r="238" spans="1:8">
      <c r="A238" s="27">
        <v>45021</v>
      </c>
      <c r="B238" s="23" t="s">
        <v>1535</v>
      </c>
      <c r="C238" s="23" t="s">
        <v>2548</v>
      </c>
      <c r="D238" s="23" t="s">
        <v>3664</v>
      </c>
      <c r="E238" s="23" t="s">
        <v>1517</v>
      </c>
      <c r="F238" s="23">
        <v>13</v>
      </c>
      <c r="G238" s="23">
        <v>2351.59</v>
      </c>
      <c r="H238" s="23">
        <v>30570.67</v>
      </c>
    </row>
    <row r="239" spans="1:8">
      <c r="A239" s="27">
        <v>45173</v>
      </c>
      <c r="B239" s="23" t="s">
        <v>1537</v>
      </c>
      <c r="C239" s="23" t="s">
        <v>2550</v>
      </c>
      <c r="D239" s="23" t="s">
        <v>3661</v>
      </c>
      <c r="E239" s="23" t="s">
        <v>1517</v>
      </c>
      <c r="F239" s="23">
        <v>8</v>
      </c>
      <c r="G239" s="23">
        <v>1410.46</v>
      </c>
      <c r="H239" s="23">
        <v>11283.68</v>
      </c>
    </row>
    <row r="240" spans="1:8">
      <c r="A240" s="27">
        <v>45095</v>
      </c>
      <c r="B240" s="23" t="s">
        <v>1537</v>
      </c>
      <c r="C240" s="23" t="s">
        <v>2552</v>
      </c>
      <c r="D240" s="23" t="s">
        <v>3667</v>
      </c>
      <c r="E240" s="23" t="s">
        <v>3657</v>
      </c>
      <c r="F240" s="23">
        <v>2</v>
      </c>
      <c r="G240" s="23">
        <v>4032.05</v>
      </c>
      <c r="H240" s="23">
        <v>8064.1</v>
      </c>
    </row>
    <row r="241" spans="1:8">
      <c r="A241" s="27">
        <v>45061</v>
      </c>
      <c r="B241" s="23" t="s">
        <v>1537</v>
      </c>
      <c r="C241" s="23" t="s">
        <v>2550</v>
      </c>
      <c r="D241" s="23" t="s">
        <v>3658</v>
      </c>
      <c r="E241" s="23" t="s">
        <v>1514</v>
      </c>
      <c r="F241" s="23">
        <v>16</v>
      </c>
      <c r="G241" s="23">
        <v>325.52</v>
      </c>
      <c r="H241" s="23">
        <v>5208.32</v>
      </c>
    </row>
    <row r="242" spans="1:8">
      <c r="A242" s="27">
        <v>45112</v>
      </c>
      <c r="B242" s="23" t="s">
        <v>1535</v>
      </c>
      <c r="C242" s="23" t="s">
        <v>2548</v>
      </c>
      <c r="D242" s="23" t="s">
        <v>3663</v>
      </c>
      <c r="E242" s="23" t="s">
        <v>1518</v>
      </c>
      <c r="F242" s="23">
        <v>17</v>
      </c>
      <c r="G242" s="23">
        <v>4427.79</v>
      </c>
      <c r="H242" s="23">
        <v>75272.429999999993</v>
      </c>
    </row>
    <row r="243" spans="1:8">
      <c r="A243" s="27">
        <v>45004</v>
      </c>
      <c r="B243" s="23" t="s">
        <v>1537</v>
      </c>
      <c r="C243" s="23" t="s">
        <v>2550</v>
      </c>
      <c r="D243" s="23" t="s">
        <v>3661</v>
      </c>
      <c r="E243" s="23" t="s">
        <v>3657</v>
      </c>
      <c r="F243" s="23">
        <v>6</v>
      </c>
      <c r="G243" s="23">
        <v>484.95</v>
      </c>
      <c r="H243" s="23">
        <v>2909.7</v>
      </c>
    </row>
    <row r="244" spans="1:8">
      <c r="A244" s="27">
        <v>45047</v>
      </c>
      <c r="B244" s="23" t="s">
        <v>1535</v>
      </c>
      <c r="C244" s="23" t="s">
        <v>2549</v>
      </c>
      <c r="D244" s="23" t="s">
        <v>3654</v>
      </c>
      <c r="E244" s="23" t="s">
        <v>3657</v>
      </c>
      <c r="F244" s="23">
        <v>5</v>
      </c>
      <c r="G244" s="23">
        <v>1204.6400000000001</v>
      </c>
      <c r="H244" s="23">
        <v>6023.2</v>
      </c>
    </row>
    <row r="245" spans="1:8">
      <c r="A245" s="27">
        <v>45042</v>
      </c>
      <c r="B245" s="23" t="s">
        <v>1537</v>
      </c>
      <c r="C245" s="23" t="s">
        <v>2552</v>
      </c>
      <c r="D245" s="23" t="s">
        <v>3662</v>
      </c>
      <c r="E245" s="23" t="s">
        <v>1516</v>
      </c>
      <c r="F245" s="23">
        <v>18</v>
      </c>
      <c r="G245" s="23">
        <v>1576.88</v>
      </c>
      <c r="H245" s="23">
        <v>28383.84</v>
      </c>
    </row>
    <row r="246" spans="1:8">
      <c r="A246" s="27">
        <v>45265</v>
      </c>
      <c r="B246" s="23" t="s">
        <v>1537</v>
      </c>
      <c r="C246" s="23" t="s">
        <v>2550</v>
      </c>
      <c r="D246" s="23" t="s">
        <v>3661</v>
      </c>
      <c r="E246" s="23" t="s">
        <v>1514</v>
      </c>
      <c r="F246" s="23">
        <v>13</v>
      </c>
      <c r="G246" s="23">
        <v>3190.8</v>
      </c>
      <c r="H246" s="23">
        <v>41480.400000000001</v>
      </c>
    </row>
    <row r="247" spans="1:8">
      <c r="A247" s="27">
        <v>45258</v>
      </c>
      <c r="B247" s="23" t="s">
        <v>1537</v>
      </c>
      <c r="C247" s="23" t="s">
        <v>2550</v>
      </c>
      <c r="D247" s="23" t="s">
        <v>3658</v>
      </c>
      <c r="E247" s="23" t="s">
        <v>3657</v>
      </c>
      <c r="F247" s="23">
        <v>13</v>
      </c>
      <c r="G247" s="23">
        <v>2347.66</v>
      </c>
      <c r="H247" s="23">
        <v>30519.58</v>
      </c>
    </row>
    <row r="248" spans="1:8">
      <c r="A248" s="27">
        <v>44942</v>
      </c>
      <c r="B248" s="23" t="s">
        <v>1535</v>
      </c>
      <c r="C248" s="23" t="s">
        <v>2548</v>
      </c>
      <c r="D248" s="23" t="s">
        <v>3664</v>
      </c>
      <c r="E248" s="23" t="s">
        <v>1517</v>
      </c>
      <c r="F248" s="23">
        <v>18</v>
      </c>
      <c r="G248" s="23">
        <v>3524.11</v>
      </c>
      <c r="H248" s="23">
        <v>63433.98</v>
      </c>
    </row>
    <row r="249" spans="1:8">
      <c r="A249" s="27">
        <v>45015</v>
      </c>
      <c r="B249" s="23" t="s">
        <v>1535</v>
      </c>
      <c r="C249" s="23" t="s">
        <v>2548</v>
      </c>
      <c r="D249" s="23" t="s">
        <v>3664</v>
      </c>
      <c r="E249" s="23" t="s">
        <v>3657</v>
      </c>
      <c r="F249" s="23">
        <v>9</v>
      </c>
      <c r="G249" s="23">
        <v>888.33</v>
      </c>
      <c r="H249" s="23">
        <v>7994.97</v>
      </c>
    </row>
    <row r="250" spans="1:8">
      <c r="A250" s="27">
        <v>45113</v>
      </c>
      <c r="B250" s="23" t="s">
        <v>1535</v>
      </c>
      <c r="C250" s="23" t="s">
        <v>2548</v>
      </c>
      <c r="D250" s="23" t="s">
        <v>3663</v>
      </c>
      <c r="E250" s="23" t="s">
        <v>3657</v>
      </c>
      <c r="F250" s="23">
        <v>8</v>
      </c>
      <c r="G250" s="23">
        <v>1484.56</v>
      </c>
      <c r="H250" s="23">
        <v>11876.48</v>
      </c>
    </row>
    <row r="251" spans="1:8">
      <c r="A251" s="27">
        <v>45177</v>
      </c>
      <c r="B251" s="23" t="s">
        <v>1535</v>
      </c>
      <c r="C251" s="23" t="s">
        <v>2549</v>
      </c>
      <c r="D251" s="23" t="s">
        <v>3654</v>
      </c>
      <c r="E251" s="23" t="s">
        <v>1514</v>
      </c>
      <c r="F251" s="23">
        <v>4</v>
      </c>
      <c r="G251" s="23">
        <v>3725.78</v>
      </c>
      <c r="H251" s="23">
        <v>14903.12</v>
      </c>
    </row>
    <row r="252" spans="1:8">
      <c r="A252" s="27">
        <v>44939</v>
      </c>
      <c r="B252" s="23" t="s">
        <v>1535</v>
      </c>
      <c r="C252" s="23" t="s">
        <v>2549</v>
      </c>
      <c r="D252" s="23" t="s">
        <v>3665</v>
      </c>
      <c r="E252" s="23" t="s">
        <v>1518</v>
      </c>
      <c r="F252" s="23">
        <v>18</v>
      </c>
      <c r="G252" s="23">
        <v>4721.4399999999996</v>
      </c>
      <c r="H252" s="23">
        <v>84985.919999999998</v>
      </c>
    </row>
    <row r="253" spans="1:8">
      <c r="A253" s="27">
        <v>45171</v>
      </c>
      <c r="B253" s="23" t="s">
        <v>1537</v>
      </c>
      <c r="C253" s="23" t="s">
        <v>2550</v>
      </c>
      <c r="D253" s="23" t="s">
        <v>3658</v>
      </c>
      <c r="E253" s="23" t="s">
        <v>1517</v>
      </c>
      <c r="F253" s="23">
        <v>15</v>
      </c>
      <c r="G253" s="23">
        <v>4426.4399999999996</v>
      </c>
      <c r="H253" s="23">
        <v>66396.600000000006</v>
      </c>
    </row>
    <row r="254" spans="1:8">
      <c r="A254" s="27">
        <v>45052</v>
      </c>
      <c r="B254" s="23" t="s">
        <v>1537</v>
      </c>
      <c r="C254" s="23" t="s">
        <v>2552</v>
      </c>
      <c r="D254" s="23" t="s">
        <v>3667</v>
      </c>
      <c r="E254" s="23" t="s">
        <v>1516</v>
      </c>
      <c r="F254" s="23">
        <v>1</v>
      </c>
      <c r="G254" s="23">
        <v>1219.0999999999999</v>
      </c>
      <c r="H254" s="23">
        <v>1219.0999999999999</v>
      </c>
    </row>
    <row r="255" spans="1:8">
      <c r="A255" s="27">
        <v>45152</v>
      </c>
      <c r="B255" s="23" t="s">
        <v>1538</v>
      </c>
      <c r="C255" s="23" t="s">
        <v>2551</v>
      </c>
      <c r="D255" s="23" t="s">
        <v>3669</v>
      </c>
      <c r="E255" s="23" t="s">
        <v>1516</v>
      </c>
      <c r="F255" s="23">
        <v>8</v>
      </c>
      <c r="G255" s="23">
        <v>2628.31</v>
      </c>
      <c r="H255" s="23">
        <v>21026.48</v>
      </c>
    </row>
    <row r="256" spans="1:8">
      <c r="A256" s="27">
        <v>45272</v>
      </c>
      <c r="B256" s="23" t="s">
        <v>1537</v>
      </c>
      <c r="C256" s="23" t="s">
        <v>2552</v>
      </c>
      <c r="D256" s="23" t="s">
        <v>3655</v>
      </c>
      <c r="E256" s="23" t="s">
        <v>1514</v>
      </c>
      <c r="F256" s="23">
        <v>18</v>
      </c>
      <c r="G256" s="23">
        <v>2784.49</v>
      </c>
      <c r="H256" s="23">
        <v>50120.82</v>
      </c>
    </row>
    <row r="257" spans="1:8">
      <c r="A257" s="27">
        <v>45156</v>
      </c>
      <c r="B257" s="23" t="s">
        <v>1535</v>
      </c>
      <c r="C257" s="23" t="s">
        <v>2548</v>
      </c>
      <c r="D257" s="23" t="s">
        <v>3664</v>
      </c>
      <c r="E257" s="23" t="s">
        <v>3657</v>
      </c>
      <c r="F257" s="23">
        <v>16</v>
      </c>
      <c r="G257" s="23">
        <v>1907.95</v>
      </c>
      <c r="H257" s="23">
        <v>30527.200000000001</v>
      </c>
    </row>
    <row r="258" spans="1:8">
      <c r="A258" s="27">
        <v>45047</v>
      </c>
      <c r="B258" s="23" t="s">
        <v>1537</v>
      </c>
      <c r="C258" s="23" t="s">
        <v>2552</v>
      </c>
      <c r="D258" s="23" t="s">
        <v>3662</v>
      </c>
      <c r="E258" s="23" t="s">
        <v>1516</v>
      </c>
      <c r="F258" s="23">
        <v>15</v>
      </c>
      <c r="G258" s="23">
        <v>1712.05</v>
      </c>
      <c r="H258" s="23">
        <v>25680.75</v>
      </c>
    </row>
    <row r="259" spans="1:8">
      <c r="A259" s="27">
        <v>44945</v>
      </c>
      <c r="B259" s="23" t="s">
        <v>1535</v>
      </c>
      <c r="C259" s="23" t="s">
        <v>2548</v>
      </c>
      <c r="D259" s="23" t="s">
        <v>3664</v>
      </c>
      <c r="E259" s="23" t="s">
        <v>1517</v>
      </c>
      <c r="F259" s="23">
        <v>15</v>
      </c>
      <c r="G259" s="23">
        <v>2167.91</v>
      </c>
      <c r="H259" s="23">
        <v>32518.65</v>
      </c>
    </row>
    <row r="260" spans="1:8">
      <c r="A260" s="27">
        <v>45232</v>
      </c>
      <c r="B260" s="23" t="s">
        <v>1537</v>
      </c>
      <c r="C260" s="23" t="s">
        <v>2552</v>
      </c>
      <c r="D260" s="23" t="s">
        <v>3655</v>
      </c>
      <c r="E260" s="23" t="s">
        <v>1516</v>
      </c>
      <c r="F260" s="23">
        <v>9</v>
      </c>
      <c r="G260" s="23">
        <v>228.49</v>
      </c>
      <c r="H260" s="23">
        <v>2056.41</v>
      </c>
    </row>
    <row r="261" spans="1:8">
      <c r="A261" s="27">
        <v>44953</v>
      </c>
      <c r="B261" s="23" t="s">
        <v>1538</v>
      </c>
      <c r="C261" s="23" t="s">
        <v>2551</v>
      </c>
      <c r="D261" s="23" t="s">
        <v>3668</v>
      </c>
      <c r="E261" s="23" t="s">
        <v>1517</v>
      </c>
      <c r="F261" s="23">
        <v>9</v>
      </c>
      <c r="G261" s="23">
        <v>3095.35</v>
      </c>
      <c r="H261" s="23">
        <v>27858.15</v>
      </c>
    </row>
    <row r="262" spans="1:8">
      <c r="A262" s="27">
        <v>44955</v>
      </c>
      <c r="B262" s="23" t="s">
        <v>1535</v>
      </c>
      <c r="C262" s="23" t="s">
        <v>2548</v>
      </c>
      <c r="D262" s="23" t="s">
        <v>3666</v>
      </c>
      <c r="E262" s="23" t="s">
        <v>1514</v>
      </c>
      <c r="F262" s="23">
        <v>5</v>
      </c>
      <c r="G262" s="23">
        <v>714.68</v>
      </c>
      <c r="H262" s="23">
        <v>3573.4</v>
      </c>
    </row>
    <row r="263" spans="1:8">
      <c r="A263" s="27">
        <v>45226</v>
      </c>
      <c r="B263" s="23" t="s">
        <v>1537</v>
      </c>
      <c r="C263" s="23" t="s">
        <v>2552</v>
      </c>
      <c r="D263" s="23" t="s">
        <v>3655</v>
      </c>
      <c r="E263" s="23" t="s">
        <v>1518</v>
      </c>
      <c r="F263" s="23">
        <v>15</v>
      </c>
      <c r="G263" s="23">
        <v>4545.26</v>
      </c>
      <c r="H263" s="23">
        <v>68178.899999999994</v>
      </c>
    </row>
    <row r="264" spans="1:8">
      <c r="A264" s="27">
        <v>45212</v>
      </c>
      <c r="B264" s="23" t="s">
        <v>1535</v>
      </c>
      <c r="C264" s="23" t="s">
        <v>2548</v>
      </c>
      <c r="D264" s="23" t="s">
        <v>3663</v>
      </c>
      <c r="E264" s="23" t="s">
        <v>1514</v>
      </c>
      <c r="F264" s="23">
        <v>20</v>
      </c>
      <c r="G264" s="23">
        <v>2133.5300000000002</v>
      </c>
      <c r="H264" s="23">
        <v>42670.6</v>
      </c>
    </row>
    <row r="265" spans="1:8">
      <c r="A265" s="27">
        <v>45033</v>
      </c>
      <c r="B265" s="23" t="s">
        <v>1538</v>
      </c>
      <c r="C265" s="23" t="s">
        <v>2551</v>
      </c>
      <c r="D265" s="23" t="s">
        <v>3668</v>
      </c>
      <c r="E265" s="23" t="s">
        <v>1516</v>
      </c>
      <c r="F265" s="23">
        <v>13</v>
      </c>
      <c r="G265" s="23">
        <v>993.43</v>
      </c>
      <c r="H265" s="23">
        <v>12914.59</v>
      </c>
    </row>
    <row r="266" spans="1:8">
      <c r="A266" s="27">
        <v>45255</v>
      </c>
      <c r="B266" s="23" t="s">
        <v>1537</v>
      </c>
      <c r="C266" s="23" t="s">
        <v>2552</v>
      </c>
      <c r="D266" s="23" t="s">
        <v>3662</v>
      </c>
      <c r="E266" s="23" t="s">
        <v>1518</v>
      </c>
      <c r="F266" s="23">
        <v>15</v>
      </c>
      <c r="G266" s="23">
        <v>2081.27</v>
      </c>
      <c r="H266" s="23">
        <v>31219.05</v>
      </c>
    </row>
    <row r="267" spans="1:8">
      <c r="A267" s="27">
        <v>45275</v>
      </c>
      <c r="B267" s="23" t="s">
        <v>1537</v>
      </c>
      <c r="C267" s="23" t="s">
        <v>2550</v>
      </c>
      <c r="D267" s="23" t="s">
        <v>3658</v>
      </c>
      <c r="E267" s="23" t="s">
        <v>1516</v>
      </c>
      <c r="F267" s="23">
        <v>12</v>
      </c>
      <c r="G267" s="23">
        <v>2882.46</v>
      </c>
      <c r="H267" s="23">
        <v>34589.519999999997</v>
      </c>
    </row>
    <row r="268" spans="1:8">
      <c r="A268" s="27">
        <v>45254</v>
      </c>
      <c r="B268" s="23" t="s">
        <v>1535</v>
      </c>
      <c r="C268" s="23" t="s">
        <v>2548</v>
      </c>
      <c r="D268" s="23" t="s">
        <v>3666</v>
      </c>
      <c r="E268" s="23" t="s">
        <v>1517</v>
      </c>
      <c r="F268" s="23">
        <v>8</v>
      </c>
      <c r="G268" s="23">
        <v>4169.8999999999996</v>
      </c>
      <c r="H268" s="23">
        <v>33359.199999999997</v>
      </c>
    </row>
    <row r="269" spans="1:8">
      <c r="A269" s="27">
        <v>45000</v>
      </c>
      <c r="B269" s="23" t="s">
        <v>1538</v>
      </c>
      <c r="C269" s="23" t="s">
        <v>2551</v>
      </c>
      <c r="D269" s="23" t="s">
        <v>3668</v>
      </c>
      <c r="E269" s="23" t="s">
        <v>3657</v>
      </c>
      <c r="F269" s="23">
        <v>6</v>
      </c>
      <c r="G269" s="23">
        <v>4364.67</v>
      </c>
      <c r="H269" s="23">
        <v>26188.02</v>
      </c>
    </row>
    <row r="270" spans="1:8">
      <c r="A270" s="27">
        <v>44987</v>
      </c>
      <c r="B270" s="23" t="s">
        <v>1537</v>
      </c>
      <c r="C270" s="23" t="s">
        <v>2552</v>
      </c>
      <c r="D270" s="23" t="s">
        <v>3667</v>
      </c>
      <c r="E270" s="23" t="s">
        <v>1516</v>
      </c>
      <c r="F270" s="23">
        <v>17</v>
      </c>
      <c r="G270" s="23">
        <v>2924.72</v>
      </c>
      <c r="H270" s="23">
        <v>49720.24</v>
      </c>
    </row>
    <row r="271" spans="1:8">
      <c r="A271" s="27">
        <v>44961</v>
      </c>
      <c r="B271" s="23" t="s">
        <v>1535</v>
      </c>
      <c r="C271" s="23" t="s">
        <v>2549</v>
      </c>
      <c r="D271" s="23" t="s">
        <v>3660</v>
      </c>
      <c r="E271" s="23" t="s">
        <v>1518</v>
      </c>
      <c r="F271" s="23">
        <v>8</v>
      </c>
      <c r="G271" s="23">
        <v>4290.04</v>
      </c>
      <c r="H271" s="23">
        <v>34320.32</v>
      </c>
    </row>
    <row r="272" spans="1:8">
      <c r="A272" s="27">
        <v>45161</v>
      </c>
      <c r="B272" s="23" t="s">
        <v>1537</v>
      </c>
      <c r="C272" s="23" t="s">
        <v>2550</v>
      </c>
      <c r="D272" s="23" t="s">
        <v>3661</v>
      </c>
      <c r="E272" s="23" t="s">
        <v>1514</v>
      </c>
      <c r="F272" s="23">
        <v>19</v>
      </c>
      <c r="G272" s="23">
        <v>3336.46</v>
      </c>
      <c r="H272" s="23">
        <v>63392.74</v>
      </c>
    </row>
    <row r="273" spans="1:8">
      <c r="A273" s="27">
        <v>45139</v>
      </c>
      <c r="B273" s="23" t="s">
        <v>1537</v>
      </c>
      <c r="C273" s="23" t="s">
        <v>2552</v>
      </c>
      <c r="D273" s="23" t="s">
        <v>3662</v>
      </c>
      <c r="E273" s="23" t="s">
        <v>1514</v>
      </c>
      <c r="F273" s="23">
        <v>20</v>
      </c>
      <c r="G273" s="23">
        <v>3728.46</v>
      </c>
      <c r="H273" s="23">
        <v>74569.2</v>
      </c>
    </row>
    <row r="274" spans="1:8">
      <c r="A274" s="27">
        <v>45187</v>
      </c>
      <c r="B274" s="23" t="s">
        <v>1538</v>
      </c>
      <c r="C274" s="23" t="s">
        <v>2551</v>
      </c>
      <c r="D274" s="23" t="s">
        <v>3668</v>
      </c>
      <c r="E274" s="23" t="s">
        <v>1517</v>
      </c>
      <c r="F274" s="23">
        <v>20</v>
      </c>
      <c r="G274" s="23">
        <v>1592.52</v>
      </c>
      <c r="H274" s="23">
        <v>31850.400000000001</v>
      </c>
    </row>
    <row r="275" spans="1:8">
      <c r="A275" s="27">
        <v>45117</v>
      </c>
      <c r="B275" s="23" t="s">
        <v>1535</v>
      </c>
      <c r="C275" s="23" t="s">
        <v>2549</v>
      </c>
      <c r="D275" s="23" t="s">
        <v>3660</v>
      </c>
      <c r="E275" s="23" t="s">
        <v>3657</v>
      </c>
      <c r="F275" s="23">
        <v>20</v>
      </c>
      <c r="G275" s="23">
        <v>2415.86</v>
      </c>
      <c r="H275" s="23">
        <v>48317.2</v>
      </c>
    </row>
    <row r="276" spans="1:8">
      <c r="A276" s="27">
        <v>44971</v>
      </c>
      <c r="B276" s="23" t="s">
        <v>1537</v>
      </c>
      <c r="C276" s="23" t="s">
        <v>2550</v>
      </c>
      <c r="D276" s="23" t="s">
        <v>3658</v>
      </c>
      <c r="E276" s="23" t="s">
        <v>1518</v>
      </c>
      <c r="F276" s="23">
        <v>12</v>
      </c>
      <c r="G276" s="23">
        <v>2733.87</v>
      </c>
      <c r="H276" s="23">
        <v>32806.44</v>
      </c>
    </row>
    <row r="277" spans="1:8">
      <c r="A277" s="27">
        <v>45081</v>
      </c>
      <c r="B277" s="23" t="s">
        <v>1537</v>
      </c>
      <c r="C277" s="23" t="s">
        <v>2550</v>
      </c>
      <c r="D277" s="23" t="s">
        <v>3656</v>
      </c>
      <c r="E277" s="23" t="s">
        <v>1516</v>
      </c>
      <c r="F277" s="23">
        <v>20</v>
      </c>
      <c r="G277" s="23">
        <v>4398.47</v>
      </c>
      <c r="H277" s="23">
        <v>87969.4</v>
      </c>
    </row>
    <row r="278" spans="1:8">
      <c r="A278" s="27">
        <v>45068</v>
      </c>
      <c r="B278" s="23" t="s">
        <v>1538</v>
      </c>
      <c r="C278" s="23" t="s">
        <v>2551</v>
      </c>
      <c r="D278" s="23" t="s">
        <v>3659</v>
      </c>
      <c r="E278" s="23" t="s">
        <v>1518</v>
      </c>
      <c r="F278" s="23">
        <v>6</v>
      </c>
      <c r="G278" s="23">
        <v>1537.45</v>
      </c>
      <c r="H278" s="23">
        <v>9224.7000000000007</v>
      </c>
    </row>
    <row r="279" spans="1:8">
      <c r="A279" s="27">
        <v>45247</v>
      </c>
      <c r="B279" s="23" t="s">
        <v>1535</v>
      </c>
      <c r="C279" s="23" t="s">
        <v>2548</v>
      </c>
      <c r="D279" s="23" t="s">
        <v>3666</v>
      </c>
      <c r="E279" s="23" t="s">
        <v>1516</v>
      </c>
      <c r="F279" s="23">
        <v>3</v>
      </c>
      <c r="G279" s="23">
        <v>1818.3</v>
      </c>
      <c r="H279" s="23">
        <v>5454.9</v>
      </c>
    </row>
    <row r="280" spans="1:8">
      <c r="A280" s="27">
        <v>45228</v>
      </c>
      <c r="B280" s="23" t="s">
        <v>1537</v>
      </c>
      <c r="C280" s="23" t="s">
        <v>2550</v>
      </c>
      <c r="D280" s="23" t="s">
        <v>3658</v>
      </c>
      <c r="E280" s="23" t="s">
        <v>3657</v>
      </c>
      <c r="F280" s="23">
        <v>1</v>
      </c>
      <c r="G280" s="23">
        <v>1239.25</v>
      </c>
      <c r="H280" s="23">
        <v>1239.25</v>
      </c>
    </row>
    <row r="281" spans="1:8">
      <c r="A281" s="27">
        <v>44961</v>
      </c>
      <c r="B281" s="23" t="s">
        <v>1538</v>
      </c>
      <c r="C281" s="23" t="s">
        <v>2551</v>
      </c>
      <c r="D281" s="23" t="s">
        <v>3669</v>
      </c>
      <c r="E281" s="23" t="s">
        <v>1514</v>
      </c>
      <c r="F281" s="23">
        <v>5</v>
      </c>
      <c r="G281" s="23">
        <v>968.86</v>
      </c>
      <c r="H281" s="23">
        <v>4844.3</v>
      </c>
    </row>
    <row r="282" spans="1:8">
      <c r="A282" s="27">
        <v>45273</v>
      </c>
      <c r="B282" s="23" t="s">
        <v>1535</v>
      </c>
      <c r="C282" s="23" t="s">
        <v>2549</v>
      </c>
      <c r="D282" s="23" t="s">
        <v>3654</v>
      </c>
      <c r="E282" s="23" t="s">
        <v>1516</v>
      </c>
      <c r="F282" s="23">
        <v>11</v>
      </c>
      <c r="G282" s="23">
        <v>2097.48</v>
      </c>
      <c r="H282" s="23">
        <v>23072.28</v>
      </c>
    </row>
    <row r="283" spans="1:8">
      <c r="A283" s="27">
        <v>45211</v>
      </c>
      <c r="B283" s="23" t="s">
        <v>1538</v>
      </c>
      <c r="C283" s="23" t="s">
        <v>2551</v>
      </c>
      <c r="D283" s="23" t="s">
        <v>3669</v>
      </c>
      <c r="E283" s="23" t="s">
        <v>1517</v>
      </c>
      <c r="F283" s="23">
        <v>14</v>
      </c>
      <c r="G283" s="23">
        <v>188.94</v>
      </c>
      <c r="H283" s="23">
        <v>2645.16</v>
      </c>
    </row>
    <row r="284" spans="1:8">
      <c r="A284" s="27">
        <v>45026</v>
      </c>
      <c r="B284" s="23" t="s">
        <v>1538</v>
      </c>
      <c r="C284" s="23" t="s">
        <v>2551</v>
      </c>
      <c r="D284" s="23" t="s">
        <v>3659</v>
      </c>
      <c r="E284" s="23" t="s">
        <v>1514</v>
      </c>
      <c r="F284" s="23">
        <v>3</v>
      </c>
      <c r="G284" s="23">
        <v>4201.09</v>
      </c>
      <c r="H284" s="23">
        <v>12603.27</v>
      </c>
    </row>
    <row r="285" spans="1:8">
      <c r="A285" s="27">
        <v>45050</v>
      </c>
      <c r="B285" s="23" t="s">
        <v>1535</v>
      </c>
      <c r="C285" s="23" t="s">
        <v>2549</v>
      </c>
      <c r="D285" s="23" t="s">
        <v>3660</v>
      </c>
      <c r="E285" s="23" t="s">
        <v>3657</v>
      </c>
      <c r="F285" s="23">
        <v>19</v>
      </c>
      <c r="G285" s="23">
        <v>430.16</v>
      </c>
      <c r="H285" s="23">
        <v>8173.04</v>
      </c>
    </row>
    <row r="286" spans="1:8">
      <c r="A286" s="27">
        <v>45274</v>
      </c>
      <c r="B286" s="23" t="s">
        <v>1538</v>
      </c>
      <c r="C286" s="23" t="s">
        <v>2551</v>
      </c>
      <c r="D286" s="23" t="s">
        <v>3659</v>
      </c>
      <c r="E286" s="23" t="s">
        <v>1517</v>
      </c>
      <c r="F286" s="23">
        <v>5</v>
      </c>
      <c r="G286" s="23">
        <v>2957.2</v>
      </c>
      <c r="H286" s="23">
        <v>14786</v>
      </c>
    </row>
    <row r="287" spans="1:8">
      <c r="A287" s="27">
        <v>44960</v>
      </c>
      <c r="B287" s="23" t="s">
        <v>1537</v>
      </c>
      <c r="C287" s="23" t="s">
        <v>2552</v>
      </c>
      <c r="D287" s="23" t="s">
        <v>3667</v>
      </c>
      <c r="E287" s="23" t="s">
        <v>1514</v>
      </c>
      <c r="F287" s="23">
        <v>7</v>
      </c>
      <c r="G287" s="23">
        <v>1164.5999999999999</v>
      </c>
      <c r="H287" s="23">
        <v>8152.2</v>
      </c>
    </row>
    <row r="288" spans="1:8">
      <c r="A288" s="27">
        <v>44955</v>
      </c>
      <c r="B288" s="23" t="s">
        <v>1537</v>
      </c>
      <c r="C288" s="23" t="s">
        <v>2552</v>
      </c>
      <c r="D288" s="23" t="s">
        <v>3662</v>
      </c>
      <c r="E288" s="23" t="s">
        <v>1514</v>
      </c>
      <c r="F288" s="23">
        <v>2</v>
      </c>
      <c r="G288" s="23">
        <v>161.19</v>
      </c>
      <c r="H288" s="23">
        <v>322.38</v>
      </c>
    </row>
    <row r="289" spans="1:8">
      <c r="A289" s="27">
        <v>45069</v>
      </c>
      <c r="B289" s="23" t="s">
        <v>1537</v>
      </c>
      <c r="C289" s="23" t="s">
        <v>2552</v>
      </c>
      <c r="D289" s="23" t="s">
        <v>3655</v>
      </c>
      <c r="E289" s="23" t="s">
        <v>1517</v>
      </c>
      <c r="F289" s="23">
        <v>4</v>
      </c>
      <c r="G289" s="23">
        <v>2689.7</v>
      </c>
      <c r="H289" s="23">
        <v>10758.8</v>
      </c>
    </row>
    <row r="290" spans="1:8">
      <c r="A290" s="27">
        <v>45036</v>
      </c>
      <c r="B290" s="23" t="s">
        <v>1535</v>
      </c>
      <c r="C290" s="23" t="s">
        <v>2548</v>
      </c>
      <c r="D290" s="23" t="s">
        <v>3664</v>
      </c>
      <c r="E290" s="23" t="s">
        <v>1514</v>
      </c>
      <c r="F290" s="23">
        <v>16</v>
      </c>
      <c r="G290" s="23">
        <v>523.29999999999995</v>
      </c>
      <c r="H290" s="23">
        <v>8372.7999999999993</v>
      </c>
    </row>
    <row r="291" spans="1:8">
      <c r="A291" s="27">
        <v>45233</v>
      </c>
      <c r="B291" s="23" t="s">
        <v>1535</v>
      </c>
      <c r="C291" s="23" t="s">
        <v>2548</v>
      </c>
      <c r="D291" s="23" t="s">
        <v>3663</v>
      </c>
      <c r="E291" s="23" t="s">
        <v>1514</v>
      </c>
      <c r="F291" s="23">
        <v>3</v>
      </c>
      <c r="G291" s="23">
        <v>884.5</v>
      </c>
      <c r="H291" s="23">
        <v>2653.5</v>
      </c>
    </row>
    <row r="292" spans="1:8">
      <c r="A292" s="27">
        <v>45174</v>
      </c>
      <c r="B292" s="23" t="s">
        <v>1538</v>
      </c>
      <c r="C292" s="23" t="s">
        <v>2551</v>
      </c>
      <c r="D292" s="23" t="s">
        <v>3668</v>
      </c>
      <c r="E292" s="23" t="s">
        <v>1516</v>
      </c>
      <c r="F292" s="23">
        <v>13</v>
      </c>
      <c r="G292" s="23">
        <v>3724.27</v>
      </c>
      <c r="H292" s="23">
        <v>48415.51</v>
      </c>
    </row>
    <row r="293" spans="1:8">
      <c r="A293" s="27">
        <v>45215</v>
      </c>
      <c r="B293" s="23" t="s">
        <v>1535</v>
      </c>
      <c r="C293" s="23" t="s">
        <v>2549</v>
      </c>
      <c r="D293" s="23" t="s">
        <v>3660</v>
      </c>
      <c r="E293" s="23" t="s">
        <v>1517</v>
      </c>
      <c r="F293" s="23">
        <v>9</v>
      </c>
      <c r="G293" s="23">
        <v>3678.86</v>
      </c>
      <c r="H293" s="23">
        <v>33109.74</v>
      </c>
    </row>
    <row r="294" spans="1:8">
      <c r="A294" s="27">
        <v>45039</v>
      </c>
      <c r="B294" s="23" t="s">
        <v>1537</v>
      </c>
      <c r="C294" s="23" t="s">
        <v>2550</v>
      </c>
      <c r="D294" s="23" t="s">
        <v>3658</v>
      </c>
      <c r="E294" s="23" t="s">
        <v>1514</v>
      </c>
      <c r="F294" s="23">
        <v>3</v>
      </c>
      <c r="G294" s="23">
        <v>938.33</v>
      </c>
      <c r="H294" s="23">
        <v>2814.99</v>
      </c>
    </row>
    <row r="295" spans="1:8">
      <c r="A295" s="27">
        <v>45015</v>
      </c>
      <c r="B295" s="23" t="s">
        <v>1537</v>
      </c>
      <c r="C295" s="23" t="s">
        <v>2550</v>
      </c>
      <c r="D295" s="23" t="s">
        <v>3661</v>
      </c>
      <c r="E295" s="23" t="s">
        <v>1514</v>
      </c>
      <c r="F295" s="23">
        <v>17</v>
      </c>
      <c r="G295" s="23">
        <v>2664.62</v>
      </c>
      <c r="H295" s="23">
        <v>45298.54</v>
      </c>
    </row>
    <row r="296" spans="1:8">
      <c r="A296" s="27">
        <v>45121</v>
      </c>
      <c r="B296" s="23" t="s">
        <v>1535</v>
      </c>
      <c r="C296" s="23" t="s">
        <v>2549</v>
      </c>
      <c r="D296" s="23" t="s">
        <v>3660</v>
      </c>
      <c r="E296" s="23" t="s">
        <v>1518</v>
      </c>
      <c r="F296" s="23">
        <v>5</v>
      </c>
      <c r="G296" s="23">
        <v>4035.07</v>
      </c>
      <c r="H296" s="23">
        <v>20175.349999999999</v>
      </c>
    </row>
    <row r="297" spans="1:8">
      <c r="A297" s="27">
        <v>45018</v>
      </c>
      <c r="B297" s="23" t="s">
        <v>1538</v>
      </c>
      <c r="C297" s="23" t="s">
        <v>2551</v>
      </c>
      <c r="D297" s="23" t="s">
        <v>3669</v>
      </c>
      <c r="E297" s="23" t="s">
        <v>3657</v>
      </c>
      <c r="F297" s="23">
        <v>20</v>
      </c>
      <c r="G297" s="23">
        <v>605.86</v>
      </c>
      <c r="H297" s="23">
        <v>12117.2</v>
      </c>
    </row>
    <row r="298" spans="1:8">
      <c r="A298" s="27">
        <v>45070</v>
      </c>
      <c r="B298" s="23" t="s">
        <v>1535</v>
      </c>
      <c r="C298" s="23" t="s">
        <v>2549</v>
      </c>
      <c r="D298" s="23" t="s">
        <v>3660</v>
      </c>
      <c r="E298" s="23" t="s">
        <v>1517</v>
      </c>
      <c r="F298" s="23">
        <v>3</v>
      </c>
      <c r="G298" s="23">
        <v>2082</v>
      </c>
      <c r="H298" s="23">
        <v>6246</v>
      </c>
    </row>
    <row r="299" spans="1:8">
      <c r="A299" s="27">
        <v>45185</v>
      </c>
      <c r="B299" s="23" t="s">
        <v>1535</v>
      </c>
      <c r="C299" s="23" t="s">
        <v>2549</v>
      </c>
      <c r="D299" s="23" t="s">
        <v>3660</v>
      </c>
      <c r="E299" s="23" t="s">
        <v>3657</v>
      </c>
      <c r="F299" s="23">
        <v>8</v>
      </c>
      <c r="G299" s="23">
        <v>3372.86</v>
      </c>
      <c r="H299" s="23">
        <v>26982.880000000001</v>
      </c>
    </row>
    <row r="300" spans="1:8">
      <c r="A300" s="27">
        <v>45150</v>
      </c>
      <c r="B300" s="23" t="s">
        <v>1538</v>
      </c>
      <c r="C300" s="23" t="s">
        <v>2551</v>
      </c>
      <c r="D300" s="23" t="s">
        <v>3668</v>
      </c>
      <c r="E300" s="23" t="s">
        <v>1516</v>
      </c>
      <c r="F300" s="23">
        <v>15</v>
      </c>
      <c r="G300" s="23">
        <v>318.32</v>
      </c>
      <c r="H300" s="23">
        <v>4774.8</v>
      </c>
    </row>
    <row r="301" spans="1:8">
      <c r="A301" s="27">
        <v>45253</v>
      </c>
      <c r="B301" s="23" t="s">
        <v>1538</v>
      </c>
      <c r="C301" s="23" t="s">
        <v>2551</v>
      </c>
      <c r="D301" s="23" t="s">
        <v>3669</v>
      </c>
      <c r="E301" s="23" t="s">
        <v>1517</v>
      </c>
      <c r="F301" s="23">
        <v>5</v>
      </c>
      <c r="G301" s="23">
        <v>3900.9</v>
      </c>
      <c r="H301" s="23">
        <v>19504.5</v>
      </c>
    </row>
    <row r="302" spans="1:8">
      <c r="A302" s="27">
        <v>45229</v>
      </c>
      <c r="B302" s="23" t="s">
        <v>1535</v>
      </c>
      <c r="C302" s="23" t="s">
        <v>2549</v>
      </c>
      <c r="D302" s="23" t="s">
        <v>3654</v>
      </c>
      <c r="E302" s="23" t="s">
        <v>1514</v>
      </c>
      <c r="F302" s="23">
        <v>15</v>
      </c>
      <c r="G302" s="23">
        <v>1113.76</v>
      </c>
      <c r="H302" s="23">
        <v>16706.400000000001</v>
      </c>
    </row>
    <row r="303" spans="1:8">
      <c r="A303" s="27">
        <v>45195</v>
      </c>
      <c r="B303" s="23" t="s">
        <v>1538</v>
      </c>
      <c r="C303" s="23" t="s">
        <v>2551</v>
      </c>
      <c r="D303" s="23" t="s">
        <v>3659</v>
      </c>
      <c r="E303" s="23" t="s">
        <v>3657</v>
      </c>
      <c r="F303" s="23">
        <v>9</v>
      </c>
      <c r="G303" s="23">
        <v>3458</v>
      </c>
      <c r="H303" s="23">
        <v>31122</v>
      </c>
    </row>
    <row r="304" spans="1:8">
      <c r="A304" s="27">
        <v>45228</v>
      </c>
      <c r="B304" s="23" t="s">
        <v>1538</v>
      </c>
      <c r="C304" s="23" t="s">
        <v>2551</v>
      </c>
      <c r="D304" s="23" t="s">
        <v>3668</v>
      </c>
      <c r="E304" s="23" t="s">
        <v>1516</v>
      </c>
      <c r="F304" s="23">
        <v>7</v>
      </c>
      <c r="G304" s="23">
        <v>3415.15</v>
      </c>
      <c r="H304" s="23">
        <v>23906.05</v>
      </c>
    </row>
    <row r="305" spans="1:8">
      <c r="A305" s="27">
        <v>45217</v>
      </c>
      <c r="B305" s="23" t="s">
        <v>1537</v>
      </c>
      <c r="C305" s="23" t="s">
        <v>2552</v>
      </c>
      <c r="D305" s="23" t="s">
        <v>3667</v>
      </c>
      <c r="E305" s="23" t="s">
        <v>1518</v>
      </c>
      <c r="F305" s="23">
        <v>15</v>
      </c>
      <c r="G305" s="23">
        <v>2920.62</v>
      </c>
      <c r="H305" s="23">
        <v>43809.3</v>
      </c>
    </row>
    <row r="306" spans="1:8">
      <c r="A306" s="27">
        <v>45161</v>
      </c>
      <c r="B306" s="23" t="s">
        <v>1535</v>
      </c>
      <c r="C306" s="23" t="s">
        <v>2549</v>
      </c>
      <c r="D306" s="23" t="s">
        <v>3654</v>
      </c>
      <c r="E306" s="23" t="s">
        <v>3657</v>
      </c>
      <c r="F306" s="23">
        <v>20</v>
      </c>
      <c r="G306" s="23">
        <v>1100.3800000000001</v>
      </c>
      <c r="H306" s="23">
        <v>22007.599999999999</v>
      </c>
    </row>
    <row r="307" spans="1:8">
      <c r="A307" s="27">
        <v>45284</v>
      </c>
      <c r="B307" s="23" t="s">
        <v>1537</v>
      </c>
      <c r="C307" s="23" t="s">
        <v>2550</v>
      </c>
      <c r="D307" s="23" t="s">
        <v>3656</v>
      </c>
      <c r="E307" s="23" t="s">
        <v>1514</v>
      </c>
      <c r="F307" s="23">
        <v>15</v>
      </c>
      <c r="G307" s="23">
        <v>170.6</v>
      </c>
      <c r="H307" s="23">
        <v>2559</v>
      </c>
    </row>
    <row r="308" spans="1:8">
      <c r="A308" s="27">
        <v>44932</v>
      </c>
      <c r="B308" s="23" t="s">
        <v>1537</v>
      </c>
      <c r="C308" s="23" t="s">
        <v>2552</v>
      </c>
      <c r="D308" s="23" t="s">
        <v>3655</v>
      </c>
      <c r="E308" s="23" t="s">
        <v>3657</v>
      </c>
      <c r="F308" s="23">
        <v>18</v>
      </c>
      <c r="G308" s="23">
        <v>1073</v>
      </c>
      <c r="H308" s="23">
        <v>19314</v>
      </c>
    </row>
    <row r="309" spans="1:8">
      <c r="A309" s="27">
        <v>44985</v>
      </c>
      <c r="B309" s="23" t="s">
        <v>1535</v>
      </c>
      <c r="C309" s="23" t="s">
        <v>2548</v>
      </c>
      <c r="D309" s="23" t="s">
        <v>3664</v>
      </c>
      <c r="E309" s="23" t="s">
        <v>1518</v>
      </c>
      <c r="F309" s="23">
        <v>9</v>
      </c>
      <c r="G309" s="23">
        <v>3276.04</v>
      </c>
      <c r="H309" s="23">
        <v>29484.36</v>
      </c>
    </row>
    <row r="310" spans="1:8">
      <c r="A310" s="27">
        <v>45167</v>
      </c>
      <c r="B310" s="23" t="s">
        <v>1537</v>
      </c>
      <c r="C310" s="23" t="s">
        <v>2550</v>
      </c>
      <c r="D310" s="23" t="s">
        <v>3661</v>
      </c>
      <c r="E310" s="23" t="s">
        <v>1517</v>
      </c>
      <c r="F310" s="23">
        <v>1</v>
      </c>
      <c r="G310" s="23">
        <v>3734.74</v>
      </c>
      <c r="H310" s="23">
        <v>3734.74</v>
      </c>
    </row>
    <row r="311" spans="1:8">
      <c r="A311" s="27">
        <v>44982</v>
      </c>
      <c r="B311" s="23" t="s">
        <v>1535</v>
      </c>
      <c r="C311" s="23" t="s">
        <v>2549</v>
      </c>
      <c r="D311" s="23" t="s">
        <v>3654</v>
      </c>
      <c r="E311" s="23" t="s">
        <v>1516</v>
      </c>
      <c r="F311" s="23">
        <v>5</v>
      </c>
      <c r="G311" s="23">
        <v>3926.26</v>
      </c>
      <c r="H311" s="23">
        <v>19631.3</v>
      </c>
    </row>
    <row r="312" spans="1:8">
      <c r="A312" s="27">
        <v>45220</v>
      </c>
      <c r="B312" s="23" t="s">
        <v>1537</v>
      </c>
      <c r="C312" s="23" t="s">
        <v>2552</v>
      </c>
      <c r="D312" s="23" t="s">
        <v>3667</v>
      </c>
      <c r="E312" s="23" t="s">
        <v>3657</v>
      </c>
      <c r="F312" s="23">
        <v>7</v>
      </c>
      <c r="G312" s="23">
        <v>2048.48</v>
      </c>
      <c r="H312" s="23">
        <v>14339.36</v>
      </c>
    </row>
    <row r="313" spans="1:8">
      <c r="A313" s="27">
        <v>45202</v>
      </c>
      <c r="B313" s="23" t="s">
        <v>1535</v>
      </c>
      <c r="C313" s="23" t="s">
        <v>2549</v>
      </c>
      <c r="D313" s="23" t="s">
        <v>3654</v>
      </c>
      <c r="E313" s="23" t="s">
        <v>1518</v>
      </c>
      <c r="F313" s="23">
        <v>11</v>
      </c>
      <c r="G313" s="23">
        <v>1316.18</v>
      </c>
      <c r="H313" s="23">
        <v>14477.98</v>
      </c>
    </row>
    <row r="314" spans="1:8">
      <c r="A314" s="27">
        <v>45016</v>
      </c>
      <c r="B314" s="23" t="s">
        <v>1538</v>
      </c>
      <c r="C314" s="23" t="s">
        <v>2551</v>
      </c>
      <c r="D314" s="23" t="s">
        <v>3668</v>
      </c>
      <c r="E314" s="23" t="s">
        <v>1518</v>
      </c>
      <c r="F314" s="23">
        <v>10</v>
      </c>
      <c r="G314" s="23">
        <v>2027.97</v>
      </c>
      <c r="H314" s="23">
        <v>20279.7</v>
      </c>
    </row>
    <row r="315" spans="1:8">
      <c r="A315" s="27">
        <v>45119</v>
      </c>
      <c r="B315" s="23" t="s">
        <v>1535</v>
      </c>
      <c r="C315" s="23" t="s">
        <v>2549</v>
      </c>
      <c r="D315" s="23" t="s">
        <v>3654</v>
      </c>
      <c r="E315" s="23" t="s">
        <v>1514</v>
      </c>
      <c r="F315" s="23">
        <v>9</v>
      </c>
      <c r="G315" s="23">
        <v>4757.53</v>
      </c>
      <c r="H315" s="23">
        <v>42817.77</v>
      </c>
    </row>
    <row r="316" spans="1:8">
      <c r="A316" s="27">
        <v>45001</v>
      </c>
      <c r="B316" s="23" t="s">
        <v>1535</v>
      </c>
      <c r="C316" s="23" t="s">
        <v>2549</v>
      </c>
      <c r="D316" s="23" t="s">
        <v>3660</v>
      </c>
      <c r="E316" s="23" t="s">
        <v>1516</v>
      </c>
      <c r="F316" s="23">
        <v>4</v>
      </c>
      <c r="G316" s="23">
        <v>1256.3399999999999</v>
      </c>
      <c r="H316" s="23">
        <v>5025.3599999999997</v>
      </c>
    </row>
    <row r="317" spans="1:8">
      <c r="A317" s="27">
        <v>45191</v>
      </c>
      <c r="B317" s="23" t="s">
        <v>1538</v>
      </c>
      <c r="C317" s="23" t="s">
        <v>2551</v>
      </c>
      <c r="D317" s="23" t="s">
        <v>3668</v>
      </c>
      <c r="E317" s="23" t="s">
        <v>1514</v>
      </c>
      <c r="F317" s="23">
        <v>11</v>
      </c>
      <c r="G317" s="23">
        <v>1065.6400000000001</v>
      </c>
      <c r="H317" s="23">
        <v>11722.04</v>
      </c>
    </row>
    <row r="318" spans="1:8">
      <c r="A318" s="27">
        <v>44994</v>
      </c>
      <c r="B318" s="23" t="s">
        <v>1535</v>
      </c>
      <c r="C318" s="23" t="s">
        <v>2548</v>
      </c>
      <c r="D318" s="23" t="s">
        <v>3666</v>
      </c>
      <c r="E318" s="23" t="s">
        <v>1517</v>
      </c>
      <c r="F318" s="23">
        <v>15</v>
      </c>
      <c r="G318" s="23">
        <v>961.23</v>
      </c>
      <c r="H318" s="23">
        <v>14418.45</v>
      </c>
    </row>
    <row r="319" spans="1:8">
      <c r="A319" s="27">
        <v>45071</v>
      </c>
      <c r="B319" s="23" t="s">
        <v>1535</v>
      </c>
      <c r="C319" s="23" t="s">
        <v>2548</v>
      </c>
      <c r="D319" s="23" t="s">
        <v>3663</v>
      </c>
      <c r="E319" s="23" t="s">
        <v>1518</v>
      </c>
      <c r="F319" s="23">
        <v>2</v>
      </c>
      <c r="G319" s="23">
        <v>2238.46</v>
      </c>
      <c r="H319" s="23">
        <v>4476.92</v>
      </c>
    </row>
    <row r="320" spans="1:8">
      <c r="A320" s="27">
        <v>45107</v>
      </c>
      <c r="B320" s="23" t="s">
        <v>1538</v>
      </c>
      <c r="C320" s="23" t="s">
        <v>2551</v>
      </c>
      <c r="D320" s="23" t="s">
        <v>3669</v>
      </c>
      <c r="E320" s="23" t="s">
        <v>1517</v>
      </c>
      <c r="F320" s="23">
        <v>17</v>
      </c>
      <c r="G320" s="23">
        <v>1538.4</v>
      </c>
      <c r="H320" s="23">
        <v>26152.799999999999</v>
      </c>
    </row>
    <row r="321" spans="1:8">
      <c r="A321" s="27">
        <v>45214</v>
      </c>
      <c r="B321" s="23" t="s">
        <v>1535</v>
      </c>
      <c r="C321" s="23" t="s">
        <v>2549</v>
      </c>
      <c r="D321" s="23" t="s">
        <v>3665</v>
      </c>
      <c r="E321" s="23" t="s">
        <v>1516</v>
      </c>
      <c r="F321" s="23">
        <v>17</v>
      </c>
      <c r="G321" s="23">
        <v>1307.24</v>
      </c>
      <c r="H321" s="23">
        <v>22223.08</v>
      </c>
    </row>
    <row r="322" spans="1:8">
      <c r="A322" s="27">
        <v>45097</v>
      </c>
      <c r="B322" s="23" t="s">
        <v>1538</v>
      </c>
      <c r="C322" s="23" t="s">
        <v>2551</v>
      </c>
      <c r="D322" s="23" t="s">
        <v>3659</v>
      </c>
      <c r="E322" s="23" t="s">
        <v>3657</v>
      </c>
      <c r="F322" s="23">
        <v>1</v>
      </c>
      <c r="G322" s="23">
        <v>840.65</v>
      </c>
      <c r="H322" s="23">
        <v>840.65</v>
      </c>
    </row>
    <row r="323" spans="1:8">
      <c r="A323" s="27">
        <v>44971</v>
      </c>
      <c r="B323" s="23" t="s">
        <v>1535</v>
      </c>
      <c r="C323" s="23" t="s">
        <v>2549</v>
      </c>
      <c r="D323" s="23" t="s">
        <v>3654</v>
      </c>
      <c r="E323" s="23" t="s">
        <v>1516</v>
      </c>
      <c r="F323" s="23">
        <v>15</v>
      </c>
      <c r="G323" s="23">
        <v>4822.26</v>
      </c>
      <c r="H323" s="23">
        <v>72333.899999999994</v>
      </c>
    </row>
    <row r="324" spans="1:8">
      <c r="A324" s="27">
        <v>44989</v>
      </c>
      <c r="B324" s="23" t="s">
        <v>1538</v>
      </c>
      <c r="C324" s="23" t="s">
        <v>2551</v>
      </c>
      <c r="D324" s="23" t="s">
        <v>3668</v>
      </c>
      <c r="E324" s="23" t="s">
        <v>1518</v>
      </c>
      <c r="F324" s="23">
        <v>1</v>
      </c>
      <c r="G324" s="23">
        <v>3781.47</v>
      </c>
      <c r="H324" s="23">
        <v>3781.47</v>
      </c>
    </row>
    <row r="325" spans="1:8">
      <c r="A325" s="27">
        <v>45083</v>
      </c>
      <c r="B325" s="23" t="s">
        <v>1535</v>
      </c>
      <c r="C325" s="23" t="s">
        <v>2548</v>
      </c>
      <c r="D325" s="23" t="s">
        <v>3664</v>
      </c>
      <c r="E325" s="23" t="s">
        <v>1517</v>
      </c>
      <c r="F325" s="23">
        <v>6</v>
      </c>
      <c r="G325" s="23">
        <v>3051.1</v>
      </c>
      <c r="H325" s="23">
        <v>18306.599999999999</v>
      </c>
    </row>
    <row r="326" spans="1:8">
      <c r="A326" s="27">
        <v>45270</v>
      </c>
      <c r="B326" s="23" t="s">
        <v>1537</v>
      </c>
      <c r="C326" s="23" t="s">
        <v>2552</v>
      </c>
      <c r="D326" s="23" t="s">
        <v>3662</v>
      </c>
      <c r="E326" s="23" t="s">
        <v>3657</v>
      </c>
      <c r="F326" s="23">
        <v>10</v>
      </c>
      <c r="G326" s="23">
        <v>642.49</v>
      </c>
      <c r="H326" s="23">
        <v>6424.9</v>
      </c>
    </row>
    <row r="327" spans="1:8">
      <c r="A327" s="27">
        <v>45264</v>
      </c>
      <c r="B327" s="23" t="s">
        <v>1537</v>
      </c>
      <c r="C327" s="23" t="s">
        <v>2552</v>
      </c>
      <c r="D327" s="23" t="s">
        <v>3662</v>
      </c>
      <c r="E327" s="23" t="s">
        <v>3657</v>
      </c>
      <c r="F327" s="23">
        <v>15</v>
      </c>
      <c r="G327" s="23">
        <v>2346.4</v>
      </c>
      <c r="H327" s="23">
        <v>35196</v>
      </c>
    </row>
    <row r="328" spans="1:8">
      <c r="A328" s="27">
        <v>44958</v>
      </c>
      <c r="B328" s="23" t="s">
        <v>1537</v>
      </c>
      <c r="C328" s="23" t="s">
        <v>2552</v>
      </c>
      <c r="D328" s="23" t="s">
        <v>3662</v>
      </c>
      <c r="E328" s="23" t="s">
        <v>1518</v>
      </c>
      <c r="F328" s="23">
        <v>20</v>
      </c>
      <c r="G328" s="23">
        <v>1514.3</v>
      </c>
      <c r="H328" s="23">
        <v>30286</v>
      </c>
    </row>
    <row r="329" spans="1:8">
      <c r="A329" s="27">
        <v>45105</v>
      </c>
      <c r="B329" s="23" t="s">
        <v>1538</v>
      </c>
      <c r="C329" s="23" t="s">
        <v>2551</v>
      </c>
      <c r="D329" s="23" t="s">
        <v>3659</v>
      </c>
      <c r="E329" s="23" t="s">
        <v>1517</v>
      </c>
      <c r="F329" s="23">
        <v>16</v>
      </c>
      <c r="G329" s="23">
        <v>4364.8999999999996</v>
      </c>
      <c r="H329" s="23">
        <v>69838.399999999994</v>
      </c>
    </row>
    <row r="330" spans="1:8">
      <c r="A330" s="27">
        <v>45171</v>
      </c>
      <c r="B330" s="23" t="s">
        <v>1535</v>
      </c>
      <c r="C330" s="23" t="s">
        <v>2549</v>
      </c>
      <c r="D330" s="23" t="s">
        <v>3660</v>
      </c>
      <c r="E330" s="23" t="s">
        <v>1517</v>
      </c>
      <c r="F330" s="23">
        <v>2</v>
      </c>
      <c r="G330" s="23">
        <v>1695.6</v>
      </c>
      <c r="H330" s="23">
        <v>3391.2</v>
      </c>
    </row>
    <row r="331" spans="1:8">
      <c r="A331" s="27">
        <v>45110</v>
      </c>
      <c r="B331" s="23" t="s">
        <v>1537</v>
      </c>
      <c r="C331" s="23" t="s">
        <v>2552</v>
      </c>
      <c r="D331" s="23" t="s">
        <v>3655</v>
      </c>
      <c r="E331" s="23" t="s">
        <v>1518</v>
      </c>
      <c r="F331" s="23">
        <v>18</v>
      </c>
      <c r="G331" s="23">
        <v>1968.87</v>
      </c>
      <c r="H331" s="23">
        <v>35439.660000000003</v>
      </c>
    </row>
    <row r="332" spans="1:8">
      <c r="A332" s="27">
        <v>44978</v>
      </c>
      <c r="B332" s="23" t="s">
        <v>1537</v>
      </c>
      <c r="C332" s="23" t="s">
        <v>2552</v>
      </c>
      <c r="D332" s="23" t="s">
        <v>3662</v>
      </c>
      <c r="E332" s="23" t="s">
        <v>1518</v>
      </c>
      <c r="F332" s="23">
        <v>17</v>
      </c>
      <c r="G332" s="23">
        <v>1777.42</v>
      </c>
      <c r="H332" s="23">
        <v>30216.14</v>
      </c>
    </row>
    <row r="333" spans="1:8">
      <c r="A333" s="27">
        <v>45201</v>
      </c>
      <c r="B333" s="23" t="s">
        <v>1537</v>
      </c>
      <c r="C333" s="23" t="s">
        <v>2552</v>
      </c>
      <c r="D333" s="23" t="s">
        <v>3655</v>
      </c>
      <c r="E333" s="23" t="s">
        <v>1518</v>
      </c>
      <c r="F333" s="23">
        <v>19</v>
      </c>
      <c r="G333" s="23">
        <v>1564.94</v>
      </c>
      <c r="H333" s="23">
        <v>29733.86</v>
      </c>
    </row>
    <row r="334" spans="1:8">
      <c r="A334" s="27">
        <v>45022</v>
      </c>
      <c r="B334" s="23" t="s">
        <v>1535</v>
      </c>
      <c r="C334" s="23" t="s">
        <v>2548</v>
      </c>
      <c r="D334" s="23" t="s">
        <v>3664</v>
      </c>
      <c r="E334" s="23" t="s">
        <v>1514</v>
      </c>
      <c r="F334" s="23">
        <v>7</v>
      </c>
      <c r="G334" s="23">
        <v>1205.8900000000001</v>
      </c>
      <c r="H334" s="23">
        <v>8441.23</v>
      </c>
    </row>
    <row r="335" spans="1:8">
      <c r="A335" s="27">
        <v>45051</v>
      </c>
      <c r="B335" s="23" t="s">
        <v>1537</v>
      </c>
      <c r="C335" s="23" t="s">
        <v>2550</v>
      </c>
      <c r="D335" s="23" t="s">
        <v>3661</v>
      </c>
      <c r="E335" s="23" t="s">
        <v>1518</v>
      </c>
      <c r="F335" s="23">
        <v>7</v>
      </c>
      <c r="G335" s="23">
        <v>4530.8100000000004</v>
      </c>
      <c r="H335" s="23">
        <v>31715.67</v>
      </c>
    </row>
    <row r="336" spans="1:8">
      <c r="A336" s="27">
        <v>45008</v>
      </c>
      <c r="B336" s="23" t="s">
        <v>1537</v>
      </c>
      <c r="C336" s="23" t="s">
        <v>2550</v>
      </c>
      <c r="D336" s="23" t="s">
        <v>3658</v>
      </c>
      <c r="E336" s="23" t="s">
        <v>1516</v>
      </c>
      <c r="F336" s="23">
        <v>13</v>
      </c>
      <c r="G336" s="23">
        <v>3568.86</v>
      </c>
      <c r="H336" s="23">
        <v>46395.18</v>
      </c>
    </row>
    <row r="337" spans="1:8">
      <c r="A337" s="27">
        <v>45164</v>
      </c>
      <c r="B337" s="23" t="s">
        <v>1537</v>
      </c>
      <c r="C337" s="23" t="s">
        <v>2550</v>
      </c>
      <c r="D337" s="23" t="s">
        <v>3656</v>
      </c>
      <c r="E337" s="23" t="s">
        <v>1517</v>
      </c>
      <c r="F337" s="23">
        <v>10</v>
      </c>
      <c r="G337" s="23">
        <v>2349.2399999999998</v>
      </c>
      <c r="H337" s="23">
        <v>23492.400000000001</v>
      </c>
    </row>
    <row r="338" spans="1:8">
      <c r="A338" s="27">
        <v>44992</v>
      </c>
      <c r="B338" s="23" t="s">
        <v>1535</v>
      </c>
      <c r="C338" s="23" t="s">
        <v>2548</v>
      </c>
      <c r="D338" s="23" t="s">
        <v>3664</v>
      </c>
      <c r="E338" s="23" t="s">
        <v>1516</v>
      </c>
      <c r="F338" s="23">
        <v>16</v>
      </c>
      <c r="G338" s="23">
        <v>1025.8</v>
      </c>
      <c r="H338" s="23">
        <v>16412.8</v>
      </c>
    </row>
    <row r="339" spans="1:8">
      <c r="A339" s="27">
        <v>45015</v>
      </c>
      <c r="B339" s="23" t="s">
        <v>1538</v>
      </c>
      <c r="C339" s="23" t="s">
        <v>2551</v>
      </c>
      <c r="D339" s="23" t="s">
        <v>3659</v>
      </c>
      <c r="E339" s="23" t="s">
        <v>1514</v>
      </c>
      <c r="F339" s="23">
        <v>3</v>
      </c>
      <c r="G339" s="23">
        <v>4608.8900000000003</v>
      </c>
      <c r="H339" s="23">
        <v>13826.67</v>
      </c>
    </row>
    <row r="340" spans="1:8">
      <c r="A340" s="27">
        <v>45003</v>
      </c>
      <c r="B340" s="23" t="s">
        <v>1538</v>
      </c>
      <c r="C340" s="23" t="s">
        <v>2551</v>
      </c>
      <c r="D340" s="23" t="s">
        <v>3669</v>
      </c>
      <c r="E340" s="23" t="s">
        <v>1516</v>
      </c>
      <c r="F340" s="23">
        <v>5</v>
      </c>
      <c r="G340" s="23">
        <v>2681.34</v>
      </c>
      <c r="H340" s="23">
        <v>13406.7</v>
      </c>
    </row>
    <row r="341" spans="1:8">
      <c r="A341" s="27">
        <v>45254</v>
      </c>
      <c r="B341" s="23" t="s">
        <v>1537</v>
      </c>
      <c r="C341" s="23" t="s">
        <v>2550</v>
      </c>
      <c r="D341" s="23" t="s">
        <v>3661</v>
      </c>
      <c r="E341" s="23" t="s">
        <v>1517</v>
      </c>
      <c r="F341" s="23">
        <v>5</v>
      </c>
      <c r="G341" s="23">
        <v>2481.2199999999998</v>
      </c>
      <c r="H341" s="23">
        <v>12406.1</v>
      </c>
    </row>
    <row r="342" spans="1:8">
      <c r="A342" s="27">
        <v>45035</v>
      </c>
      <c r="B342" s="23" t="s">
        <v>1537</v>
      </c>
      <c r="C342" s="23" t="s">
        <v>2550</v>
      </c>
      <c r="D342" s="23" t="s">
        <v>3658</v>
      </c>
      <c r="E342" s="23" t="s">
        <v>1517</v>
      </c>
      <c r="F342" s="23">
        <v>13</v>
      </c>
      <c r="G342" s="23">
        <v>4911.57</v>
      </c>
      <c r="H342" s="23">
        <v>63850.41</v>
      </c>
    </row>
    <row r="343" spans="1:8">
      <c r="A343" s="27">
        <v>44964</v>
      </c>
      <c r="B343" s="23" t="s">
        <v>1537</v>
      </c>
      <c r="C343" s="23" t="s">
        <v>2552</v>
      </c>
      <c r="D343" s="23" t="s">
        <v>3667</v>
      </c>
      <c r="E343" s="23" t="s">
        <v>1518</v>
      </c>
      <c r="F343" s="23">
        <v>4</v>
      </c>
      <c r="G343" s="23">
        <v>4337.09</v>
      </c>
      <c r="H343" s="23">
        <v>17348.36</v>
      </c>
    </row>
    <row r="344" spans="1:8">
      <c r="A344" s="27">
        <v>45205</v>
      </c>
      <c r="B344" s="23" t="s">
        <v>1535</v>
      </c>
      <c r="C344" s="23" t="s">
        <v>2548</v>
      </c>
      <c r="D344" s="23" t="s">
        <v>3664</v>
      </c>
      <c r="E344" s="23" t="s">
        <v>3657</v>
      </c>
      <c r="F344" s="23">
        <v>4</v>
      </c>
      <c r="G344" s="23">
        <v>4317.2</v>
      </c>
      <c r="H344" s="23">
        <v>17268.8</v>
      </c>
    </row>
    <row r="345" spans="1:8">
      <c r="A345" s="27">
        <v>44989</v>
      </c>
      <c r="B345" s="23" t="s">
        <v>1537</v>
      </c>
      <c r="C345" s="23" t="s">
        <v>2550</v>
      </c>
      <c r="D345" s="23" t="s">
        <v>3656</v>
      </c>
      <c r="E345" s="23" t="s">
        <v>1514</v>
      </c>
      <c r="F345" s="23">
        <v>13</v>
      </c>
      <c r="G345" s="23">
        <v>2693.09</v>
      </c>
      <c r="H345" s="23">
        <v>35010.17</v>
      </c>
    </row>
    <row r="346" spans="1:8">
      <c r="A346" s="27">
        <v>45090</v>
      </c>
      <c r="B346" s="23" t="s">
        <v>1537</v>
      </c>
      <c r="C346" s="23" t="s">
        <v>2552</v>
      </c>
      <c r="D346" s="23" t="s">
        <v>3655</v>
      </c>
      <c r="E346" s="23" t="s">
        <v>1518</v>
      </c>
      <c r="F346" s="23">
        <v>5</v>
      </c>
      <c r="G346" s="23">
        <v>3701.17</v>
      </c>
      <c r="H346" s="23">
        <v>18505.849999999999</v>
      </c>
    </row>
    <row r="347" spans="1:8">
      <c r="A347" s="27">
        <v>45236</v>
      </c>
      <c r="B347" s="23" t="s">
        <v>1537</v>
      </c>
      <c r="C347" s="23" t="s">
        <v>2550</v>
      </c>
      <c r="D347" s="23" t="s">
        <v>3658</v>
      </c>
      <c r="E347" s="23" t="s">
        <v>1514</v>
      </c>
      <c r="F347" s="23">
        <v>1</v>
      </c>
      <c r="G347" s="23">
        <v>585.58000000000004</v>
      </c>
      <c r="H347" s="23">
        <v>585.58000000000004</v>
      </c>
    </row>
    <row r="348" spans="1:8">
      <c r="A348" s="27">
        <v>45201</v>
      </c>
      <c r="B348" s="23" t="s">
        <v>1537</v>
      </c>
      <c r="C348" s="23" t="s">
        <v>2552</v>
      </c>
      <c r="D348" s="23" t="s">
        <v>3662</v>
      </c>
      <c r="E348" s="23" t="s">
        <v>1514</v>
      </c>
      <c r="F348" s="23">
        <v>16</v>
      </c>
      <c r="G348" s="23">
        <v>4720.2299999999996</v>
      </c>
      <c r="H348" s="23">
        <v>75523.679999999993</v>
      </c>
    </row>
    <row r="349" spans="1:8">
      <c r="A349" s="27">
        <v>45085</v>
      </c>
      <c r="B349" s="23" t="s">
        <v>1535</v>
      </c>
      <c r="C349" s="23" t="s">
        <v>2548</v>
      </c>
      <c r="D349" s="23" t="s">
        <v>3663</v>
      </c>
      <c r="E349" s="23" t="s">
        <v>1514</v>
      </c>
      <c r="F349" s="23">
        <v>15</v>
      </c>
      <c r="G349" s="23">
        <v>2514.9499999999998</v>
      </c>
      <c r="H349" s="23">
        <v>37724.25</v>
      </c>
    </row>
    <row r="350" spans="1:8">
      <c r="A350" s="27">
        <v>44931</v>
      </c>
      <c r="B350" s="23" t="s">
        <v>1537</v>
      </c>
      <c r="C350" s="23" t="s">
        <v>2550</v>
      </c>
      <c r="D350" s="23" t="s">
        <v>3658</v>
      </c>
      <c r="E350" s="23" t="s">
        <v>1516</v>
      </c>
      <c r="F350" s="23">
        <v>10</v>
      </c>
      <c r="G350" s="23">
        <v>772.21</v>
      </c>
      <c r="H350" s="23">
        <v>7722.1</v>
      </c>
    </row>
    <row r="351" spans="1:8">
      <c r="A351" s="27">
        <v>45209</v>
      </c>
      <c r="B351" s="23" t="s">
        <v>1537</v>
      </c>
      <c r="C351" s="23" t="s">
        <v>2552</v>
      </c>
      <c r="D351" s="23" t="s">
        <v>3655</v>
      </c>
      <c r="E351" s="23" t="s">
        <v>1514</v>
      </c>
      <c r="F351" s="23">
        <v>7</v>
      </c>
      <c r="G351" s="23">
        <v>702.24</v>
      </c>
      <c r="H351" s="23">
        <v>4915.68</v>
      </c>
    </row>
    <row r="352" spans="1:8">
      <c r="A352" s="27">
        <v>44978</v>
      </c>
      <c r="B352" s="23" t="s">
        <v>1535</v>
      </c>
      <c r="C352" s="23" t="s">
        <v>2549</v>
      </c>
      <c r="D352" s="23" t="s">
        <v>3654</v>
      </c>
      <c r="E352" s="23" t="s">
        <v>1517</v>
      </c>
      <c r="F352" s="23">
        <v>4</v>
      </c>
      <c r="G352" s="23">
        <v>1831.79</v>
      </c>
      <c r="H352" s="23">
        <v>7327.16</v>
      </c>
    </row>
    <row r="353" spans="1:8">
      <c r="A353" s="27">
        <v>45199</v>
      </c>
      <c r="B353" s="23" t="s">
        <v>1535</v>
      </c>
      <c r="C353" s="23" t="s">
        <v>2549</v>
      </c>
      <c r="D353" s="23" t="s">
        <v>3665</v>
      </c>
      <c r="E353" s="23" t="s">
        <v>3657</v>
      </c>
      <c r="F353" s="23">
        <v>12</v>
      </c>
      <c r="G353" s="23">
        <v>3895.88</v>
      </c>
      <c r="H353" s="23">
        <v>46750.559999999998</v>
      </c>
    </row>
    <row r="354" spans="1:8">
      <c r="A354" s="27">
        <v>45219</v>
      </c>
      <c r="B354" s="23" t="s">
        <v>1535</v>
      </c>
      <c r="C354" s="23" t="s">
        <v>2548</v>
      </c>
      <c r="D354" s="23" t="s">
        <v>3664</v>
      </c>
      <c r="E354" s="23" t="s">
        <v>1518</v>
      </c>
      <c r="F354" s="23">
        <v>12</v>
      </c>
      <c r="G354" s="23">
        <v>2208.4899999999998</v>
      </c>
      <c r="H354" s="23">
        <v>26501.88</v>
      </c>
    </row>
    <row r="355" spans="1:8">
      <c r="A355" s="27">
        <v>45180</v>
      </c>
      <c r="B355" s="23" t="s">
        <v>1535</v>
      </c>
      <c r="C355" s="23" t="s">
        <v>2549</v>
      </c>
      <c r="D355" s="23" t="s">
        <v>3660</v>
      </c>
      <c r="E355" s="23" t="s">
        <v>1516</v>
      </c>
      <c r="F355" s="23">
        <v>3</v>
      </c>
      <c r="G355" s="23">
        <v>116.58</v>
      </c>
      <c r="H355" s="23">
        <v>349.74</v>
      </c>
    </row>
    <row r="356" spans="1:8">
      <c r="A356" s="27">
        <v>45089</v>
      </c>
      <c r="B356" s="23" t="s">
        <v>1538</v>
      </c>
      <c r="C356" s="23" t="s">
        <v>2551</v>
      </c>
      <c r="D356" s="23" t="s">
        <v>3669</v>
      </c>
      <c r="E356" s="23" t="s">
        <v>3657</v>
      </c>
      <c r="F356" s="23">
        <v>3</v>
      </c>
      <c r="G356" s="23">
        <v>4171.91</v>
      </c>
      <c r="H356" s="23">
        <v>12515.73</v>
      </c>
    </row>
    <row r="357" spans="1:8">
      <c r="A357" s="27">
        <v>44933</v>
      </c>
      <c r="B357" s="23" t="s">
        <v>1537</v>
      </c>
      <c r="C357" s="23" t="s">
        <v>2552</v>
      </c>
      <c r="D357" s="23" t="s">
        <v>3655</v>
      </c>
      <c r="E357" s="23" t="s">
        <v>1518</v>
      </c>
      <c r="F357" s="23">
        <v>8</v>
      </c>
      <c r="G357" s="23">
        <v>4201.6899999999996</v>
      </c>
      <c r="H357" s="23">
        <v>33613.519999999997</v>
      </c>
    </row>
    <row r="358" spans="1:8">
      <c r="A358" s="27">
        <v>45119</v>
      </c>
      <c r="B358" s="23" t="s">
        <v>1535</v>
      </c>
      <c r="C358" s="23" t="s">
        <v>2548</v>
      </c>
      <c r="D358" s="23" t="s">
        <v>3666</v>
      </c>
      <c r="E358" s="23" t="s">
        <v>1516</v>
      </c>
      <c r="F358" s="23">
        <v>1</v>
      </c>
      <c r="G358" s="23">
        <v>2716.98</v>
      </c>
      <c r="H358" s="23">
        <v>2716.98</v>
      </c>
    </row>
    <row r="359" spans="1:8">
      <c r="A359" s="27">
        <v>45024</v>
      </c>
      <c r="B359" s="23" t="s">
        <v>1535</v>
      </c>
      <c r="C359" s="23" t="s">
        <v>2549</v>
      </c>
      <c r="D359" s="23" t="s">
        <v>3654</v>
      </c>
      <c r="E359" s="23" t="s">
        <v>1516</v>
      </c>
      <c r="F359" s="23">
        <v>1</v>
      </c>
      <c r="G359" s="23">
        <v>3847.65</v>
      </c>
      <c r="H359" s="23">
        <v>3847.65</v>
      </c>
    </row>
    <row r="360" spans="1:8">
      <c r="A360" s="27">
        <v>45167</v>
      </c>
      <c r="B360" s="23" t="s">
        <v>1535</v>
      </c>
      <c r="C360" s="23" t="s">
        <v>2549</v>
      </c>
      <c r="D360" s="23" t="s">
        <v>3654</v>
      </c>
      <c r="E360" s="23" t="s">
        <v>1518</v>
      </c>
      <c r="F360" s="23">
        <v>2</v>
      </c>
      <c r="G360" s="23">
        <v>816.12</v>
      </c>
      <c r="H360" s="23">
        <v>1632.24</v>
      </c>
    </row>
    <row r="361" spans="1:8">
      <c r="A361" s="27">
        <v>45144</v>
      </c>
      <c r="B361" s="23" t="s">
        <v>1538</v>
      </c>
      <c r="C361" s="23" t="s">
        <v>2551</v>
      </c>
      <c r="D361" s="23" t="s">
        <v>3668</v>
      </c>
      <c r="E361" s="23" t="s">
        <v>1514</v>
      </c>
      <c r="F361" s="23">
        <v>12</v>
      </c>
      <c r="G361" s="23">
        <v>1304.81</v>
      </c>
      <c r="H361" s="23">
        <v>15657.72</v>
      </c>
    </row>
    <row r="362" spans="1:8">
      <c r="A362" s="27">
        <v>45243</v>
      </c>
      <c r="B362" s="23" t="s">
        <v>1535</v>
      </c>
      <c r="C362" s="23" t="s">
        <v>2549</v>
      </c>
      <c r="D362" s="23" t="s">
        <v>3665</v>
      </c>
      <c r="E362" s="23" t="s">
        <v>3657</v>
      </c>
      <c r="F362" s="23">
        <v>3</v>
      </c>
      <c r="G362" s="23">
        <v>2214.86</v>
      </c>
      <c r="H362" s="23">
        <v>6644.58</v>
      </c>
    </row>
    <row r="363" spans="1:8">
      <c r="A363" s="27">
        <v>45165</v>
      </c>
      <c r="B363" s="23" t="s">
        <v>1538</v>
      </c>
      <c r="C363" s="23" t="s">
        <v>2551</v>
      </c>
      <c r="D363" s="23" t="s">
        <v>3668</v>
      </c>
      <c r="E363" s="23" t="s">
        <v>1517</v>
      </c>
      <c r="F363" s="23">
        <v>14</v>
      </c>
      <c r="G363" s="23">
        <v>1094.1400000000001</v>
      </c>
      <c r="H363" s="23">
        <v>15317.96</v>
      </c>
    </row>
    <row r="364" spans="1:8">
      <c r="A364" s="27">
        <v>45195</v>
      </c>
      <c r="B364" s="23" t="s">
        <v>1535</v>
      </c>
      <c r="C364" s="23" t="s">
        <v>2548</v>
      </c>
      <c r="D364" s="23" t="s">
        <v>3664</v>
      </c>
      <c r="E364" s="23" t="s">
        <v>1516</v>
      </c>
      <c r="F364" s="23">
        <v>4</v>
      </c>
      <c r="G364" s="23">
        <v>4697.07</v>
      </c>
      <c r="H364" s="23">
        <v>18788.28</v>
      </c>
    </row>
    <row r="365" spans="1:8">
      <c r="A365" s="27">
        <v>45213</v>
      </c>
      <c r="B365" s="23" t="s">
        <v>1535</v>
      </c>
      <c r="C365" s="23" t="s">
        <v>2549</v>
      </c>
      <c r="D365" s="23" t="s">
        <v>3660</v>
      </c>
      <c r="E365" s="23" t="s">
        <v>3657</v>
      </c>
      <c r="F365" s="23">
        <v>5</v>
      </c>
      <c r="G365" s="23">
        <v>1141.32</v>
      </c>
      <c r="H365" s="23">
        <v>5706.6</v>
      </c>
    </row>
    <row r="366" spans="1:8">
      <c r="A366" s="27">
        <v>44991</v>
      </c>
      <c r="B366" s="23" t="s">
        <v>1535</v>
      </c>
      <c r="C366" s="23" t="s">
        <v>2548</v>
      </c>
      <c r="D366" s="23" t="s">
        <v>3663</v>
      </c>
      <c r="E366" s="23" t="s">
        <v>1517</v>
      </c>
      <c r="F366" s="23">
        <v>18</v>
      </c>
      <c r="G366" s="23">
        <v>814.69</v>
      </c>
      <c r="H366" s="23">
        <v>14664.42</v>
      </c>
    </row>
    <row r="367" spans="1:8">
      <c r="A367" s="27">
        <v>45238</v>
      </c>
      <c r="B367" s="23" t="s">
        <v>1535</v>
      </c>
      <c r="C367" s="23" t="s">
        <v>2548</v>
      </c>
      <c r="D367" s="23" t="s">
        <v>3663</v>
      </c>
      <c r="E367" s="23" t="s">
        <v>3657</v>
      </c>
      <c r="F367" s="23">
        <v>19</v>
      </c>
      <c r="G367" s="23">
        <v>2743.67</v>
      </c>
      <c r="H367" s="23">
        <v>52129.73</v>
      </c>
    </row>
    <row r="368" spans="1:8">
      <c r="A368" s="27">
        <v>45290</v>
      </c>
      <c r="B368" s="23" t="s">
        <v>1537</v>
      </c>
      <c r="C368" s="23" t="s">
        <v>2550</v>
      </c>
      <c r="D368" s="23" t="s">
        <v>3661</v>
      </c>
      <c r="E368" s="23" t="s">
        <v>1518</v>
      </c>
      <c r="F368" s="23">
        <v>3</v>
      </c>
      <c r="G368" s="23">
        <v>2961.96</v>
      </c>
      <c r="H368" s="23">
        <v>8885.8799999999992</v>
      </c>
    </row>
    <row r="369" spans="1:8">
      <c r="A369" s="27">
        <v>45133</v>
      </c>
      <c r="B369" s="23" t="s">
        <v>1535</v>
      </c>
      <c r="C369" s="23" t="s">
        <v>2549</v>
      </c>
      <c r="D369" s="23" t="s">
        <v>3665</v>
      </c>
      <c r="E369" s="23" t="s">
        <v>1517</v>
      </c>
      <c r="F369" s="23">
        <v>16</v>
      </c>
      <c r="G369" s="23">
        <v>2882.65</v>
      </c>
      <c r="H369" s="23">
        <v>46122.400000000001</v>
      </c>
    </row>
    <row r="370" spans="1:8">
      <c r="A370" s="27">
        <v>45040</v>
      </c>
      <c r="B370" s="23" t="s">
        <v>1535</v>
      </c>
      <c r="C370" s="23" t="s">
        <v>2549</v>
      </c>
      <c r="D370" s="23" t="s">
        <v>3660</v>
      </c>
      <c r="E370" s="23" t="s">
        <v>1517</v>
      </c>
      <c r="F370" s="23">
        <v>7</v>
      </c>
      <c r="G370" s="23">
        <v>1905.14</v>
      </c>
      <c r="H370" s="23">
        <v>13335.98</v>
      </c>
    </row>
    <row r="371" spans="1:8">
      <c r="A371" s="27">
        <v>44994</v>
      </c>
      <c r="B371" s="23" t="s">
        <v>1538</v>
      </c>
      <c r="C371" s="23" t="s">
        <v>2551</v>
      </c>
      <c r="D371" s="23" t="s">
        <v>3669</v>
      </c>
      <c r="E371" s="23" t="s">
        <v>1514</v>
      </c>
      <c r="F371" s="23">
        <v>5</v>
      </c>
      <c r="G371" s="23">
        <v>912.33</v>
      </c>
      <c r="H371" s="23">
        <v>4561.6499999999996</v>
      </c>
    </row>
    <row r="372" spans="1:8">
      <c r="A372" s="27">
        <v>44968</v>
      </c>
      <c r="B372" s="23" t="s">
        <v>1535</v>
      </c>
      <c r="C372" s="23" t="s">
        <v>2549</v>
      </c>
      <c r="D372" s="23" t="s">
        <v>3665</v>
      </c>
      <c r="E372" s="23" t="s">
        <v>1516</v>
      </c>
      <c r="F372" s="23">
        <v>13</v>
      </c>
      <c r="G372" s="23">
        <v>2745.75</v>
      </c>
      <c r="H372" s="23">
        <v>35694.75</v>
      </c>
    </row>
    <row r="373" spans="1:8">
      <c r="A373" s="27">
        <v>45274</v>
      </c>
      <c r="B373" s="23" t="s">
        <v>1537</v>
      </c>
      <c r="C373" s="23" t="s">
        <v>2552</v>
      </c>
      <c r="D373" s="23" t="s">
        <v>3667</v>
      </c>
      <c r="E373" s="23" t="s">
        <v>1517</v>
      </c>
      <c r="F373" s="23">
        <v>10</v>
      </c>
      <c r="G373" s="23">
        <v>222.55</v>
      </c>
      <c r="H373" s="23">
        <v>2225.5</v>
      </c>
    </row>
    <row r="374" spans="1:8">
      <c r="A374" s="27">
        <v>45141</v>
      </c>
      <c r="B374" s="23" t="s">
        <v>1537</v>
      </c>
      <c r="C374" s="23" t="s">
        <v>2552</v>
      </c>
      <c r="D374" s="23" t="s">
        <v>3662</v>
      </c>
      <c r="E374" s="23" t="s">
        <v>1514</v>
      </c>
      <c r="F374" s="23">
        <v>15</v>
      </c>
      <c r="G374" s="23">
        <v>624.87</v>
      </c>
      <c r="H374" s="23">
        <v>9373.0499999999993</v>
      </c>
    </row>
    <row r="375" spans="1:8">
      <c r="A375" s="27">
        <v>44993</v>
      </c>
      <c r="B375" s="23" t="s">
        <v>1535</v>
      </c>
      <c r="C375" s="23" t="s">
        <v>2548</v>
      </c>
      <c r="D375" s="23" t="s">
        <v>3663</v>
      </c>
      <c r="E375" s="23" t="s">
        <v>1516</v>
      </c>
      <c r="F375" s="23">
        <v>2</v>
      </c>
      <c r="G375" s="23">
        <v>3825.5</v>
      </c>
      <c r="H375" s="23">
        <v>7651</v>
      </c>
    </row>
    <row r="376" spans="1:8">
      <c r="A376" s="27">
        <v>45016</v>
      </c>
      <c r="B376" s="23" t="s">
        <v>1538</v>
      </c>
      <c r="C376" s="23" t="s">
        <v>2551</v>
      </c>
      <c r="D376" s="23" t="s">
        <v>3659</v>
      </c>
      <c r="E376" s="23" t="s">
        <v>1516</v>
      </c>
      <c r="F376" s="23">
        <v>5</v>
      </c>
      <c r="G376" s="23">
        <v>2846.34</v>
      </c>
      <c r="H376" s="23">
        <v>14231.7</v>
      </c>
    </row>
    <row r="377" spans="1:8">
      <c r="A377" s="27">
        <v>45060</v>
      </c>
      <c r="B377" s="23" t="s">
        <v>1537</v>
      </c>
      <c r="C377" s="23" t="s">
        <v>2550</v>
      </c>
      <c r="D377" s="23" t="s">
        <v>3656</v>
      </c>
      <c r="E377" s="23" t="s">
        <v>1516</v>
      </c>
      <c r="F377" s="23">
        <v>3</v>
      </c>
      <c r="G377" s="23">
        <v>1205.6199999999999</v>
      </c>
      <c r="H377" s="23">
        <v>3616.86</v>
      </c>
    </row>
    <row r="378" spans="1:8">
      <c r="A378" s="27">
        <v>45253</v>
      </c>
      <c r="B378" s="23" t="s">
        <v>1535</v>
      </c>
      <c r="C378" s="23" t="s">
        <v>2548</v>
      </c>
      <c r="D378" s="23" t="s">
        <v>3664</v>
      </c>
      <c r="E378" s="23" t="s">
        <v>3657</v>
      </c>
      <c r="F378" s="23">
        <v>9</v>
      </c>
      <c r="G378" s="23">
        <v>851.87</v>
      </c>
      <c r="H378" s="23">
        <v>7666.83</v>
      </c>
    </row>
    <row r="379" spans="1:8">
      <c r="A379" s="27">
        <v>45023</v>
      </c>
      <c r="B379" s="23" t="s">
        <v>1537</v>
      </c>
      <c r="C379" s="23" t="s">
        <v>2552</v>
      </c>
      <c r="D379" s="23" t="s">
        <v>3655</v>
      </c>
      <c r="E379" s="23" t="s">
        <v>1516</v>
      </c>
      <c r="F379" s="23">
        <v>7</v>
      </c>
      <c r="G379" s="23">
        <v>1849.17</v>
      </c>
      <c r="H379" s="23">
        <v>12944.19</v>
      </c>
    </row>
    <row r="380" spans="1:8">
      <c r="A380" s="27">
        <v>45076</v>
      </c>
      <c r="B380" s="23" t="s">
        <v>1538</v>
      </c>
      <c r="C380" s="23" t="s">
        <v>2551</v>
      </c>
      <c r="D380" s="23" t="s">
        <v>3668</v>
      </c>
      <c r="E380" s="23" t="s">
        <v>1514</v>
      </c>
      <c r="F380" s="23">
        <v>2</v>
      </c>
      <c r="G380" s="23">
        <v>2119.5100000000002</v>
      </c>
      <c r="H380" s="23">
        <v>4239.0200000000004</v>
      </c>
    </row>
    <row r="381" spans="1:8">
      <c r="A381" s="27">
        <v>45159</v>
      </c>
      <c r="B381" s="23" t="s">
        <v>1537</v>
      </c>
      <c r="C381" s="23" t="s">
        <v>2550</v>
      </c>
      <c r="D381" s="23" t="s">
        <v>3656</v>
      </c>
      <c r="E381" s="23" t="s">
        <v>1516</v>
      </c>
      <c r="F381" s="23">
        <v>1</v>
      </c>
      <c r="G381" s="23">
        <v>421.27</v>
      </c>
      <c r="H381" s="23">
        <v>421.27</v>
      </c>
    </row>
    <row r="382" spans="1:8">
      <c r="A382" s="27">
        <v>45003</v>
      </c>
      <c r="B382" s="23" t="s">
        <v>1537</v>
      </c>
      <c r="C382" s="23" t="s">
        <v>2552</v>
      </c>
      <c r="D382" s="23" t="s">
        <v>3662</v>
      </c>
      <c r="E382" s="23" t="s">
        <v>1518</v>
      </c>
      <c r="F382" s="23">
        <v>14</v>
      </c>
      <c r="G382" s="23">
        <v>2746.27</v>
      </c>
      <c r="H382" s="23">
        <v>38447.78</v>
      </c>
    </row>
    <row r="383" spans="1:8">
      <c r="A383" s="27">
        <v>45214</v>
      </c>
      <c r="B383" s="23" t="s">
        <v>1535</v>
      </c>
      <c r="C383" s="23" t="s">
        <v>2548</v>
      </c>
      <c r="D383" s="23" t="s">
        <v>3663</v>
      </c>
      <c r="E383" s="23" t="s">
        <v>1517</v>
      </c>
      <c r="F383" s="23">
        <v>18</v>
      </c>
      <c r="G383" s="23">
        <v>3602.65</v>
      </c>
      <c r="H383" s="23">
        <v>64847.7</v>
      </c>
    </row>
    <row r="384" spans="1:8">
      <c r="A384" s="27">
        <v>44998</v>
      </c>
      <c r="B384" s="23" t="s">
        <v>1535</v>
      </c>
      <c r="C384" s="23" t="s">
        <v>2549</v>
      </c>
      <c r="D384" s="23" t="s">
        <v>3665</v>
      </c>
      <c r="E384" s="23" t="s">
        <v>1514</v>
      </c>
      <c r="F384" s="23">
        <v>11</v>
      </c>
      <c r="G384" s="23">
        <v>4681.04</v>
      </c>
      <c r="H384" s="23">
        <v>51491.44</v>
      </c>
    </row>
    <row r="385" spans="1:8">
      <c r="A385" s="27">
        <v>45173</v>
      </c>
      <c r="B385" s="23" t="s">
        <v>1537</v>
      </c>
      <c r="C385" s="23" t="s">
        <v>2552</v>
      </c>
      <c r="D385" s="23" t="s">
        <v>3655</v>
      </c>
      <c r="E385" s="23" t="s">
        <v>3657</v>
      </c>
      <c r="F385" s="23">
        <v>4</v>
      </c>
      <c r="G385" s="23">
        <v>1381.71</v>
      </c>
      <c r="H385" s="23">
        <v>5526.84</v>
      </c>
    </row>
    <row r="386" spans="1:8">
      <c r="A386" s="27">
        <v>45106</v>
      </c>
      <c r="B386" s="23" t="s">
        <v>1535</v>
      </c>
      <c r="C386" s="23" t="s">
        <v>2549</v>
      </c>
      <c r="D386" s="23" t="s">
        <v>3665</v>
      </c>
      <c r="E386" s="23" t="s">
        <v>1518</v>
      </c>
      <c r="F386" s="23">
        <v>20</v>
      </c>
      <c r="G386" s="23">
        <v>1536.73</v>
      </c>
      <c r="H386" s="23">
        <v>30734.6</v>
      </c>
    </row>
    <row r="387" spans="1:8">
      <c r="A387" s="27">
        <v>45289</v>
      </c>
      <c r="B387" s="23" t="s">
        <v>1537</v>
      </c>
      <c r="C387" s="23" t="s">
        <v>2552</v>
      </c>
      <c r="D387" s="23" t="s">
        <v>3662</v>
      </c>
      <c r="E387" s="23" t="s">
        <v>1516</v>
      </c>
      <c r="F387" s="23">
        <v>13</v>
      </c>
      <c r="G387" s="23">
        <v>1929.55</v>
      </c>
      <c r="H387" s="23">
        <v>25084.15</v>
      </c>
    </row>
    <row r="388" spans="1:8">
      <c r="A388" s="27">
        <v>45023</v>
      </c>
      <c r="B388" s="23" t="s">
        <v>1537</v>
      </c>
      <c r="C388" s="23" t="s">
        <v>2550</v>
      </c>
      <c r="D388" s="23" t="s">
        <v>3658</v>
      </c>
      <c r="E388" s="23" t="s">
        <v>1518</v>
      </c>
      <c r="F388" s="23">
        <v>17</v>
      </c>
      <c r="G388" s="23">
        <v>3233.82</v>
      </c>
      <c r="H388" s="23">
        <v>54974.94</v>
      </c>
    </row>
    <row r="389" spans="1:8">
      <c r="A389" s="27">
        <v>45235</v>
      </c>
      <c r="B389" s="23" t="s">
        <v>1535</v>
      </c>
      <c r="C389" s="23" t="s">
        <v>2549</v>
      </c>
      <c r="D389" s="23" t="s">
        <v>3660</v>
      </c>
      <c r="E389" s="23" t="s">
        <v>1516</v>
      </c>
      <c r="F389" s="23">
        <v>17</v>
      </c>
      <c r="G389" s="23">
        <v>4082.38</v>
      </c>
      <c r="H389" s="23">
        <v>69400.460000000006</v>
      </c>
    </row>
    <row r="390" spans="1:8">
      <c r="A390" s="27">
        <v>45124</v>
      </c>
      <c r="B390" s="23" t="s">
        <v>1535</v>
      </c>
      <c r="C390" s="23" t="s">
        <v>2548</v>
      </c>
      <c r="D390" s="23" t="s">
        <v>3663</v>
      </c>
      <c r="E390" s="23" t="s">
        <v>1518</v>
      </c>
      <c r="F390" s="23">
        <v>12</v>
      </c>
      <c r="G390" s="23">
        <v>3650.3</v>
      </c>
      <c r="H390" s="23">
        <v>43803.6</v>
      </c>
    </row>
    <row r="391" spans="1:8">
      <c r="A391" s="27">
        <v>45218</v>
      </c>
      <c r="B391" s="23" t="s">
        <v>1537</v>
      </c>
      <c r="C391" s="23" t="s">
        <v>2550</v>
      </c>
      <c r="D391" s="23" t="s">
        <v>3658</v>
      </c>
      <c r="E391" s="23" t="s">
        <v>1518</v>
      </c>
      <c r="F391" s="23">
        <v>18</v>
      </c>
      <c r="G391" s="23">
        <v>532.4</v>
      </c>
      <c r="H391" s="23">
        <v>9583.2000000000007</v>
      </c>
    </row>
    <row r="392" spans="1:8">
      <c r="A392" s="27">
        <v>45047</v>
      </c>
      <c r="B392" s="23" t="s">
        <v>1535</v>
      </c>
      <c r="C392" s="23" t="s">
        <v>2549</v>
      </c>
      <c r="D392" s="23" t="s">
        <v>3665</v>
      </c>
      <c r="E392" s="23" t="s">
        <v>1516</v>
      </c>
      <c r="F392" s="23">
        <v>7</v>
      </c>
      <c r="G392" s="23">
        <v>3931.73</v>
      </c>
      <c r="H392" s="23">
        <v>27522.11</v>
      </c>
    </row>
    <row r="393" spans="1:8">
      <c r="A393" s="27">
        <v>45208</v>
      </c>
      <c r="B393" s="23" t="s">
        <v>1537</v>
      </c>
      <c r="C393" s="23" t="s">
        <v>2552</v>
      </c>
      <c r="D393" s="23" t="s">
        <v>3662</v>
      </c>
      <c r="E393" s="23" t="s">
        <v>1516</v>
      </c>
      <c r="F393" s="23">
        <v>9</v>
      </c>
      <c r="G393" s="23">
        <v>2770.27</v>
      </c>
      <c r="H393" s="23">
        <v>24932.43</v>
      </c>
    </row>
    <row r="394" spans="1:8">
      <c r="A394" s="27">
        <v>45276</v>
      </c>
      <c r="B394" s="23" t="s">
        <v>1537</v>
      </c>
      <c r="C394" s="23" t="s">
        <v>2552</v>
      </c>
      <c r="D394" s="23" t="s">
        <v>3662</v>
      </c>
      <c r="E394" s="23" t="s">
        <v>1517</v>
      </c>
      <c r="F394" s="23">
        <v>7</v>
      </c>
      <c r="G394" s="23">
        <v>3052.99</v>
      </c>
      <c r="H394" s="23">
        <v>21370.93</v>
      </c>
    </row>
    <row r="395" spans="1:8">
      <c r="A395" s="27">
        <v>45090</v>
      </c>
      <c r="B395" s="23" t="s">
        <v>1535</v>
      </c>
      <c r="C395" s="23" t="s">
        <v>2548</v>
      </c>
      <c r="D395" s="23" t="s">
        <v>3663</v>
      </c>
      <c r="E395" s="23" t="s">
        <v>3657</v>
      </c>
      <c r="F395" s="23">
        <v>14</v>
      </c>
      <c r="G395" s="23">
        <v>298.99</v>
      </c>
      <c r="H395" s="23">
        <v>4185.8599999999997</v>
      </c>
    </row>
    <row r="396" spans="1:8">
      <c r="A396" s="27">
        <v>45144</v>
      </c>
      <c r="B396" s="23" t="s">
        <v>1537</v>
      </c>
      <c r="C396" s="23" t="s">
        <v>2552</v>
      </c>
      <c r="D396" s="23" t="s">
        <v>3662</v>
      </c>
      <c r="E396" s="23" t="s">
        <v>1516</v>
      </c>
      <c r="F396" s="23">
        <v>10</v>
      </c>
      <c r="G396" s="23">
        <v>812.98</v>
      </c>
      <c r="H396" s="23">
        <v>8129.8</v>
      </c>
    </row>
    <row r="397" spans="1:8">
      <c r="A397" s="27">
        <v>45289</v>
      </c>
      <c r="B397" s="23" t="s">
        <v>1535</v>
      </c>
      <c r="C397" s="23" t="s">
        <v>2548</v>
      </c>
      <c r="D397" s="23" t="s">
        <v>3666</v>
      </c>
      <c r="E397" s="23" t="s">
        <v>1518</v>
      </c>
      <c r="F397" s="23">
        <v>14</v>
      </c>
      <c r="G397" s="23">
        <v>1720</v>
      </c>
      <c r="H397" s="23">
        <v>24080</v>
      </c>
    </row>
    <row r="398" spans="1:8">
      <c r="A398" s="27">
        <v>45104</v>
      </c>
      <c r="B398" s="23" t="s">
        <v>1537</v>
      </c>
      <c r="C398" s="23" t="s">
        <v>2552</v>
      </c>
      <c r="D398" s="23" t="s">
        <v>3667</v>
      </c>
      <c r="E398" s="23" t="s">
        <v>1514</v>
      </c>
      <c r="F398" s="23">
        <v>3</v>
      </c>
      <c r="G398" s="23">
        <v>772.21</v>
      </c>
      <c r="H398" s="23">
        <v>2316.63</v>
      </c>
    </row>
    <row r="399" spans="1:8">
      <c r="A399" s="27">
        <v>45044</v>
      </c>
      <c r="B399" s="23" t="s">
        <v>1537</v>
      </c>
      <c r="C399" s="23" t="s">
        <v>2552</v>
      </c>
      <c r="D399" s="23" t="s">
        <v>3655</v>
      </c>
      <c r="E399" s="23" t="s">
        <v>1516</v>
      </c>
      <c r="F399" s="23">
        <v>20</v>
      </c>
      <c r="G399" s="23">
        <v>3937.67</v>
      </c>
      <c r="H399" s="23">
        <v>78753.399999999994</v>
      </c>
    </row>
    <row r="400" spans="1:8">
      <c r="A400" s="27">
        <v>45233</v>
      </c>
      <c r="B400" s="23" t="s">
        <v>1535</v>
      </c>
      <c r="C400" s="23" t="s">
        <v>2549</v>
      </c>
      <c r="D400" s="23" t="s">
        <v>3660</v>
      </c>
      <c r="E400" s="23" t="s">
        <v>1518</v>
      </c>
      <c r="F400" s="23">
        <v>5</v>
      </c>
      <c r="G400" s="23">
        <v>3259.3</v>
      </c>
      <c r="H400" s="23">
        <v>16296.5</v>
      </c>
    </row>
    <row r="401" spans="1:8">
      <c r="A401" s="27">
        <v>45186</v>
      </c>
      <c r="B401" s="23" t="s">
        <v>1538</v>
      </c>
      <c r="C401" s="23" t="s">
        <v>2551</v>
      </c>
      <c r="D401" s="23" t="s">
        <v>3659</v>
      </c>
      <c r="E401" s="23" t="s">
        <v>1516</v>
      </c>
      <c r="F401" s="23">
        <v>7</v>
      </c>
      <c r="G401" s="23">
        <v>252.75</v>
      </c>
      <c r="H401" s="23">
        <v>1769.25</v>
      </c>
    </row>
    <row r="402" spans="1:8">
      <c r="A402" s="27">
        <v>45119</v>
      </c>
      <c r="B402" s="23" t="s">
        <v>1535</v>
      </c>
      <c r="C402" s="23" t="s">
        <v>2549</v>
      </c>
      <c r="D402" s="23" t="s">
        <v>3665</v>
      </c>
      <c r="E402" s="23" t="s">
        <v>1517</v>
      </c>
      <c r="F402" s="23">
        <v>16</v>
      </c>
      <c r="G402" s="23">
        <v>1933.33</v>
      </c>
      <c r="H402" s="23">
        <v>30933.279999999999</v>
      </c>
    </row>
    <row r="403" spans="1:8">
      <c r="A403" s="27">
        <v>45024</v>
      </c>
      <c r="B403" s="23" t="s">
        <v>1535</v>
      </c>
      <c r="C403" s="23" t="s">
        <v>2548</v>
      </c>
      <c r="D403" s="23" t="s">
        <v>3664</v>
      </c>
      <c r="E403" s="23" t="s">
        <v>1514</v>
      </c>
      <c r="F403" s="23">
        <v>6</v>
      </c>
      <c r="G403" s="23">
        <v>4541.92</v>
      </c>
      <c r="H403" s="23">
        <v>27251.52</v>
      </c>
    </row>
    <row r="404" spans="1:8">
      <c r="A404" s="27">
        <v>45051</v>
      </c>
      <c r="B404" s="23" t="s">
        <v>1535</v>
      </c>
      <c r="C404" s="23" t="s">
        <v>2549</v>
      </c>
      <c r="D404" s="23" t="s">
        <v>3654</v>
      </c>
      <c r="E404" s="23" t="s">
        <v>1517</v>
      </c>
      <c r="F404" s="23">
        <v>20</v>
      </c>
      <c r="G404" s="23">
        <v>4270.08</v>
      </c>
      <c r="H404" s="23">
        <v>85401.600000000006</v>
      </c>
    </row>
    <row r="405" spans="1:8">
      <c r="A405" s="27">
        <v>44961</v>
      </c>
      <c r="B405" s="23" t="s">
        <v>1537</v>
      </c>
      <c r="C405" s="23" t="s">
        <v>2550</v>
      </c>
      <c r="D405" s="23" t="s">
        <v>3661</v>
      </c>
      <c r="E405" s="23" t="s">
        <v>1517</v>
      </c>
      <c r="F405" s="23">
        <v>3</v>
      </c>
      <c r="G405" s="23">
        <v>3007.45</v>
      </c>
      <c r="H405" s="23">
        <v>9022.35</v>
      </c>
    </row>
    <row r="406" spans="1:8">
      <c r="A406" s="27">
        <v>45019</v>
      </c>
      <c r="B406" s="23" t="s">
        <v>1538</v>
      </c>
      <c r="C406" s="23" t="s">
        <v>2551</v>
      </c>
      <c r="D406" s="23" t="s">
        <v>3669</v>
      </c>
      <c r="E406" s="23" t="s">
        <v>3657</v>
      </c>
      <c r="F406" s="23">
        <v>8</v>
      </c>
      <c r="G406" s="23">
        <v>315</v>
      </c>
      <c r="H406" s="23">
        <v>2520</v>
      </c>
    </row>
    <row r="407" spans="1:8">
      <c r="A407" s="27">
        <v>45291</v>
      </c>
      <c r="B407" s="23" t="s">
        <v>1537</v>
      </c>
      <c r="C407" s="23" t="s">
        <v>2550</v>
      </c>
      <c r="D407" s="23" t="s">
        <v>3661</v>
      </c>
      <c r="E407" s="23" t="s">
        <v>1514</v>
      </c>
      <c r="F407" s="23">
        <v>13</v>
      </c>
      <c r="G407" s="23">
        <v>1647.87</v>
      </c>
      <c r="H407" s="23">
        <v>21422.31</v>
      </c>
    </row>
    <row r="408" spans="1:8">
      <c r="A408" s="27">
        <v>44940</v>
      </c>
      <c r="B408" s="23" t="s">
        <v>1537</v>
      </c>
      <c r="C408" s="23" t="s">
        <v>2552</v>
      </c>
      <c r="D408" s="23" t="s">
        <v>3655</v>
      </c>
      <c r="E408" s="23" t="s">
        <v>1514</v>
      </c>
      <c r="F408" s="23">
        <v>2</v>
      </c>
      <c r="G408" s="23">
        <v>659.83</v>
      </c>
      <c r="H408" s="23">
        <v>1319.66</v>
      </c>
    </row>
    <row r="409" spans="1:8">
      <c r="A409" s="27">
        <v>45270</v>
      </c>
      <c r="B409" s="23" t="s">
        <v>1537</v>
      </c>
      <c r="C409" s="23" t="s">
        <v>2552</v>
      </c>
      <c r="D409" s="23" t="s">
        <v>3655</v>
      </c>
      <c r="E409" s="23" t="s">
        <v>1514</v>
      </c>
      <c r="F409" s="23">
        <v>16</v>
      </c>
      <c r="G409" s="23">
        <v>4999.8999999999996</v>
      </c>
      <c r="H409" s="23">
        <v>79998.399999999994</v>
      </c>
    </row>
    <row r="410" spans="1:8">
      <c r="A410" s="27">
        <v>44986</v>
      </c>
      <c r="B410" s="23" t="s">
        <v>1537</v>
      </c>
      <c r="C410" s="23" t="s">
        <v>2552</v>
      </c>
      <c r="D410" s="23" t="s">
        <v>3667</v>
      </c>
      <c r="E410" s="23" t="s">
        <v>1516</v>
      </c>
      <c r="F410" s="23">
        <v>20</v>
      </c>
      <c r="G410" s="23">
        <v>490.36</v>
      </c>
      <c r="H410" s="23">
        <v>9807.2000000000007</v>
      </c>
    </row>
    <row r="411" spans="1:8">
      <c r="A411" s="27">
        <v>45071</v>
      </c>
      <c r="B411" s="23" t="s">
        <v>1535</v>
      </c>
      <c r="C411" s="23" t="s">
        <v>2548</v>
      </c>
      <c r="D411" s="23" t="s">
        <v>3666</v>
      </c>
      <c r="E411" s="23" t="s">
        <v>1518</v>
      </c>
      <c r="F411" s="23">
        <v>19</v>
      </c>
      <c r="G411" s="23">
        <v>2753.24</v>
      </c>
      <c r="H411" s="23">
        <v>52311.56</v>
      </c>
    </row>
    <row r="412" spans="1:8">
      <c r="A412" s="27">
        <v>45026</v>
      </c>
      <c r="B412" s="23" t="s">
        <v>1538</v>
      </c>
      <c r="C412" s="23" t="s">
        <v>2551</v>
      </c>
      <c r="D412" s="23" t="s">
        <v>3669</v>
      </c>
      <c r="E412" s="23" t="s">
        <v>3657</v>
      </c>
      <c r="F412" s="23">
        <v>7</v>
      </c>
      <c r="G412" s="23">
        <v>4541.83</v>
      </c>
      <c r="H412" s="23">
        <v>31792.81</v>
      </c>
    </row>
    <row r="413" spans="1:8">
      <c r="A413" s="27">
        <v>44934</v>
      </c>
      <c r="B413" s="23" t="s">
        <v>1535</v>
      </c>
      <c r="C413" s="23" t="s">
        <v>2549</v>
      </c>
      <c r="D413" s="23" t="s">
        <v>3665</v>
      </c>
      <c r="E413" s="23" t="s">
        <v>1518</v>
      </c>
      <c r="F413" s="23">
        <v>2</v>
      </c>
      <c r="G413" s="23">
        <v>3240.32</v>
      </c>
      <c r="H413" s="23">
        <v>6480.64</v>
      </c>
    </row>
    <row r="414" spans="1:8">
      <c r="A414" s="27">
        <v>45141</v>
      </c>
      <c r="B414" s="23" t="s">
        <v>1538</v>
      </c>
      <c r="C414" s="23" t="s">
        <v>2551</v>
      </c>
      <c r="D414" s="23" t="s">
        <v>3668</v>
      </c>
      <c r="E414" s="23" t="s">
        <v>1518</v>
      </c>
      <c r="F414" s="23">
        <v>18</v>
      </c>
      <c r="G414" s="23">
        <v>3614.6</v>
      </c>
      <c r="H414" s="23">
        <v>65062.8</v>
      </c>
    </row>
    <row r="415" spans="1:8">
      <c r="A415" s="27">
        <v>45062</v>
      </c>
      <c r="B415" s="23" t="s">
        <v>1535</v>
      </c>
      <c r="C415" s="23" t="s">
        <v>2549</v>
      </c>
      <c r="D415" s="23" t="s">
        <v>3660</v>
      </c>
      <c r="E415" s="23" t="s">
        <v>1518</v>
      </c>
      <c r="F415" s="23">
        <v>3</v>
      </c>
      <c r="G415" s="23">
        <v>2618.2199999999998</v>
      </c>
      <c r="H415" s="23">
        <v>7854.66</v>
      </c>
    </row>
    <row r="416" spans="1:8">
      <c r="A416" s="27">
        <v>45035</v>
      </c>
      <c r="B416" s="23" t="s">
        <v>1535</v>
      </c>
      <c r="C416" s="23" t="s">
        <v>2548</v>
      </c>
      <c r="D416" s="23" t="s">
        <v>3663</v>
      </c>
      <c r="E416" s="23" t="s">
        <v>1518</v>
      </c>
      <c r="F416" s="23">
        <v>17</v>
      </c>
      <c r="G416" s="23">
        <v>1793.43</v>
      </c>
      <c r="H416" s="23">
        <v>30488.31</v>
      </c>
    </row>
    <row r="417" spans="1:8">
      <c r="A417" s="27">
        <v>45127</v>
      </c>
      <c r="B417" s="23" t="s">
        <v>1538</v>
      </c>
      <c r="C417" s="23" t="s">
        <v>2551</v>
      </c>
      <c r="D417" s="23" t="s">
        <v>3659</v>
      </c>
      <c r="E417" s="23" t="s">
        <v>1517</v>
      </c>
      <c r="F417" s="23">
        <v>17</v>
      </c>
      <c r="G417" s="23">
        <v>758.19</v>
      </c>
      <c r="H417" s="23">
        <v>12889.23</v>
      </c>
    </row>
    <row r="418" spans="1:8">
      <c r="A418" s="27">
        <v>45154</v>
      </c>
      <c r="B418" s="23" t="s">
        <v>1535</v>
      </c>
      <c r="C418" s="23" t="s">
        <v>2548</v>
      </c>
      <c r="D418" s="23" t="s">
        <v>3663</v>
      </c>
      <c r="E418" s="23" t="s">
        <v>1518</v>
      </c>
      <c r="F418" s="23">
        <v>18</v>
      </c>
      <c r="G418" s="23">
        <v>4862.63</v>
      </c>
      <c r="H418" s="23">
        <v>87527.34</v>
      </c>
    </row>
    <row r="419" spans="1:8">
      <c r="A419" s="27">
        <v>44956</v>
      </c>
      <c r="B419" s="23" t="s">
        <v>1535</v>
      </c>
      <c r="C419" s="23" t="s">
        <v>2549</v>
      </c>
      <c r="D419" s="23" t="s">
        <v>3665</v>
      </c>
      <c r="E419" s="23" t="s">
        <v>1514</v>
      </c>
      <c r="F419" s="23">
        <v>20</v>
      </c>
      <c r="G419" s="23">
        <v>486.25</v>
      </c>
      <c r="H419" s="23">
        <v>9725</v>
      </c>
    </row>
    <row r="420" spans="1:8">
      <c r="A420" s="27">
        <v>45208</v>
      </c>
      <c r="B420" s="23" t="s">
        <v>1537</v>
      </c>
      <c r="C420" s="23" t="s">
        <v>2550</v>
      </c>
      <c r="D420" s="23" t="s">
        <v>3656</v>
      </c>
      <c r="E420" s="23" t="s">
        <v>1517</v>
      </c>
      <c r="F420" s="23">
        <v>3</v>
      </c>
      <c r="G420" s="23">
        <v>3533.3</v>
      </c>
      <c r="H420" s="23">
        <v>10599.9</v>
      </c>
    </row>
    <row r="421" spans="1:8">
      <c r="A421" s="27">
        <v>45013</v>
      </c>
      <c r="B421" s="23" t="s">
        <v>1538</v>
      </c>
      <c r="C421" s="23" t="s">
        <v>2551</v>
      </c>
      <c r="D421" s="23" t="s">
        <v>3669</v>
      </c>
      <c r="E421" s="23" t="s">
        <v>1514</v>
      </c>
      <c r="F421" s="23">
        <v>11</v>
      </c>
      <c r="G421" s="23">
        <v>1069.3900000000001</v>
      </c>
      <c r="H421" s="23">
        <v>11763.29</v>
      </c>
    </row>
    <row r="422" spans="1:8">
      <c r="A422" s="27">
        <v>45055</v>
      </c>
      <c r="B422" s="23" t="s">
        <v>1538</v>
      </c>
      <c r="C422" s="23" t="s">
        <v>2551</v>
      </c>
      <c r="D422" s="23" t="s">
        <v>3668</v>
      </c>
      <c r="E422" s="23" t="s">
        <v>1514</v>
      </c>
      <c r="F422" s="23">
        <v>12</v>
      </c>
      <c r="G422" s="23">
        <v>2581.09</v>
      </c>
      <c r="H422" s="23">
        <v>30973.08</v>
      </c>
    </row>
    <row r="423" spans="1:8">
      <c r="A423" s="27">
        <v>45284</v>
      </c>
      <c r="B423" s="23" t="s">
        <v>1537</v>
      </c>
      <c r="C423" s="23" t="s">
        <v>2550</v>
      </c>
      <c r="D423" s="23" t="s">
        <v>3658</v>
      </c>
      <c r="E423" s="23" t="s">
        <v>1516</v>
      </c>
      <c r="F423" s="23">
        <v>8</v>
      </c>
      <c r="G423" s="23">
        <v>1670.31</v>
      </c>
      <c r="H423" s="23">
        <v>13362.48</v>
      </c>
    </row>
    <row r="424" spans="1:8">
      <c r="A424" s="27">
        <v>45158</v>
      </c>
      <c r="B424" s="23" t="s">
        <v>1537</v>
      </c>
      <c r="C424" s="23" t="s">
        <v>2552</v>
      </c>
      <c r="D424" s="23" t="s">
        <v>3655</v>
      </c>
      <c r="E424" s="23" t="s">
        <v>3657</v>
      </c>
      <c r="F424" s="23">
        <v>7</v>
      </c>
      <c r="G424" s="23">
        <v>2560.5</v>
      </c>
      <c r="H424" s="23">
        <v>17923.5</v>
      </c>
    </row>
    <row r="425" spans="1:8">
      <c r="A425" s="27">
        <v>45155</v>
      </c>
      <c r="B425" s="23" t="s">
        <v>1537</v>
      </c>
      <c r="C425" s="23" t="s">
        <v>2552</v>
      </c>
      <c r="D425" s="23" t="s">
        <v>3667</v>
      </c>
      <c r="E425" s="23" t="s">
        <v>1516</v>
      </c>
      <c r="F425" s="23">
        <v>8</v>
      </c>
      <c r="G425" s="23">
        <v>244.6</v>
      </c>
      <c r="H425" s="23">
        <v>1956.8</v>
      </c>
    </row>
    <row r="426" spans="1:8">
      <c r="A426" s="27">
        <v>45198</v>
      </c>
      <c r="B426" s="23" t="s">
        <v>1538</v>
      </c>
      <c r="C426" s="23" t="s">
        <v>2551</v>
      </c>
      <c r="D426" s="23" t="s">
        <v>3659</v>
      </c>
      <c r="E426" s="23" t="s">
        <v>1514</v>
      </c>
      <c r="F426" s="23">
        <v>13</v>
      </c>
      <c r="G426" s="23">
        <v>4084.32</v>
      </c>
      <c r="H426" s="23">
        <v>53096.160000000003</v>
      </c>
    </row>
    <row r="427" spans="1:8">
      <c r="A427" s="27">
        <v>45248</v>
      </c>
      <c r="B427" s="23" t="s">
        <v>1537</v>
      </c>
      <c r="C427" s="23" t="s">
        <v>2550</v>
      </c>
      <c r="D427" s="23" t="s">
        <v>3658</v>
      </c>
      <c r="E427" s="23" t="s">
        <v>1518</v>
      </c>
      <c r="F427" s="23">
        <v>16</v>
      </c>
      <c r="G427" s="23">
        <v>1480.7</v>
      </c>
      <c r="H427" s="23">
        <v>23691.200000000001</v>
      </c>
    </row>
    <row r="428" spans="1:8">
      <c r="A428" s="27">
        <v>45015</v>
      </c>
      <c r="B428" s="23" t="s">
        <v>1537</v>
      </c>
      <c r="C428" s="23" t="s">
        <v>2550</v>
      </c>
      <c r="D428" s="23" t="s">
        <v>3656</v>
      </c>
      <c r="E428" s="23" t="s">
        <v>1518</v>
      </c>
      <c r="F428" s="23">
        <v>6</v>
      </c>
      <c r="G428" s="23">
        <v>1979</v>
      </c>
      <c r="H428" s="23">
        <v>11874</v>
      </c>
    </row>
    <row r="429" spans="1:8">
      <c r="A429" s="27">
        <v>45188</v>
      </c>
      <c r="B429" s="23" t="s">
        <v>1537</v>
      </c>
      <c r="C429" s="23" t="s">
        <v>2552</v>
      </c>
      <c r="D429" s="23" t="s">
        <v>3662</v>
      </c>
      <c r="E429" s="23" t="s">
        <v>1517</v>
      </c>
      <c r="F429" s="23">
        <v>18</v>
      </c>
      <c r="G429" s="23">
        <v>883.32</v>
      </c>
      <c r="H429" s="23">
        <v>15899.76</v>
      </c>
    </row>
    <row r="430" spans="1:8">
      <c r="A430" s="27">
        <v>45238</v>
      </c>
      <c r="B430" s="23" t="s">
        <v>1537</v>
      </c>
      <c r="C430" s="23" t="s">
        <v>2550</v>
      </c>
      <c r="D430" s="23" t="s">
        <v>3656</v>
      </c>
      <c r="E430" s="23" t="s">
        <v>1517</v>
      </c>
      <c r="F430" s="23">
        <v>4</v>
      </c>
      <c r="G430" s="23">
        <v>4058.48</v>
      </c>
      <c r="H430" s="23">
        <v>16233.92</v>
      </c>
    </row>
    <row r="431" spans="1:8">
      <c r="A431" s="27">
        <v>45192</v>
      </c>
      <c r="B431" s="23" t="s">
        <v>1535</v>
      </c>
      <c r="C431" s="23" t="s">
        <v>2548</v>
      </c>
      <c r="D431" s="23" t="s">
        <v>3664</v>
      </c>
      <c r="E431" s="23" t="s">
        <v>1517</v>
      </c>
      <c r="F431" s="23">
        <v>7</v>
      </c>
      <c r="G431" s="23">
        <v>281.29000000000002</v>
      </c>
      <c r="H431" s="23">
        <v>1969.03</v>
      </c>
    </row>
    <row r="432" spans="1:8">
      <c r="A432" s="27">
        <v>45124</v>
      </c>
      <c r="B432" s="23" t="s">
        <v>1538</v>
      </c>
      <c r="C432" s="23" t="s">
        <v>2551</v>
      </c>
      <c r="D432" s="23" t="s">
        <v>3669</v>
      </c>
      <c r="E432" s="23" t="s">
        <v>1518</v>
      </c>
      <c r="F432" s="23">
        <v>4</v>
      </c>
      <c r="G432" s="23">
        <v>2978.87</v>
      </c>
      <c r="H432" s="23">
        <v>11915.48</v>
      </c>
    </row>
    <row r="433" spans="1:8">
      <c r="A433" s="27">
        <v>45064</v>
      </c>
      <c r="B433" s="23" t="s">
        <v>1535</v>
      </c>
      <c r="C433" s="23" t="s">
        <v>2549</v>
      </c>
      <c r="D433" s="23" t="s">
        <v>3665</v>
      </c>
      <c r="E433" s="23" t="s">
        <v>3657</v>
      </c>
      <c r="F433" s="23">
        <v>2</v>
      </c>
      <c r="G433" s="23">
        <v>2402.5700000000002</v>
      </c>
      <c r="H433" s="23">
        <v>4805.1400000000003</v>
      </c>
    </row>
    <row r="434" spans="1:8">
      <c r="A434" s="27">
        <v>45187</v>
      </c>
      <c r="B434" s="23" t="s">
        <v>1538</v>
      </c>
      <c r="C434" s="23" t="s">
        <v>2551</v>
      </c>
      <c r="D434" s="23" t="s">
        <v>3669</v>
      </c>
      <c r="E434" s="23" t="s">
        <v>1514</v>
      </c>
      <c r="F434" s="23">
        <v>12</v>
      </c>
      <c r="G434" s="23">
        <v>1673.01</v>
      </c>
      <c r="H434" s="23">
        <v>20076.12</v>
      </c>
    </row>
    <row r="435" spans="1:8">
      <c r="A435" s="27">
        <v>45050</v>
      </c>
      <c r="B435" s="23" t="s">
        <v>1535</v>
      </c>
      <c r="C435" s="23" t="s">
        <v>2549</v>
      </c>
      <c r="D435" s="23" t="s">
        <v>3660</v>
      </c>
      <c r="E435" s="23" t="s">
        <v>3657</v>
      </c>
      <c r="F435" s="23">
        <v>17</v>
      </c>
      <c r="G435" s="23">
        <v>2031.75</v>
      </c>
      <c r="H435" s="23">
        <v>34539.75</v>
      </c>
    </row>
    <row r="436" spans="1:8">
      <c r="A436" s="27">
        <v>45178</v>
      </c>
      <c r="B436" s="23" t="s">
        <v>1538</v>
      </c>
      <c r="C436" s="23" t="s">
        <v>2551</v>
      </c>
      <c r="D436" s="23" t="s">
        <v>3659</v>
      </c>
      <c r="E436" s="23" t="s">
        <v>1514</v>
      </c>
      <c r="F436" s="23">
        <v>15</v>
      </c>
      <c r="G436" s="23">
        <v>4667.42</v>
      </c>
      <c r="H436" s="23">
        <v>70011.3</v>
      </c>
    </row>
    <row r="437" spans="1:8">
      <c r="A437" s="27">
        <v>45289</v>
      </c>
      <c r="B437" s="23" t="s">
        <v>1535</v>
      </c>
      <c r="C437" s="23" t="s">
        <v>2549</v>
      </c>
      <c r="D437" s="23" t="s">
        <v>3660</v>
      </c>
      <c r="E437" s="23" t="s">
        <v>1514</v>
      </c>
      <c r="F437" s="23">
        <v>18</v>
      </c>
      <c r="G437" s="23">
        <v>2494.9499999999998</v>
      </c>
      <c r="H437" s="23">
        <v>44909.1</v>
      </c>
    </row>
    <row r="438" spans="1:8">
      <c r="A438" s="27">
        <v>45275</v>
      </c>
      <c r="B438" s="23" t="s">
        <v>1537</v>
      </c>
      <c r="C438" s="23" t="s">
        <v>2552</v>
      </c>
      <c r="D438" s="23" t="s">
        <v>3667</v>
      </c>
      <c r="E438" s="23" t="s">
        <v>3657</v>
      </c>
      <c r="F438" s="23">
        <v>15</v>
      </c>
      <c r="G438" s="23">
        <v>4659.8</v>
      </c>
      <c r="H438" s="23">
        <v>69897</v>
      </c>
    </row>
    <row r="439" spans="1:8">
      <c r="A439" s="27">
        <v>45001</v>
      </c>
      <c r="B439" s="23" t="s">
        <v>1537</v>
      </c>
      <c r="C439" s="23" t="s">
        <v>2550</v>
      </c>
      <c r="D439" s="23" t="s">
        <v>3656</v>
      </c>
      <c r="E439" s="23" t="s">
        <v>1517</v>
      </c>
      <c r="F439" s="23">
        <v>9</v>
      </c>
      <c r="G439" s="23">
        <v>1805.32</v>
      </c>
      <c r="H439" s="23">
        <v>16247.88</v>
      </c>
    </row>
    <row r="440" spans="1:8">
      <c r="A440" s="27">
        <v>45034</v>
      </c>
      <c r="B440" s="23" t="s">
        <v>1535</v>
      </c>
      <c r="C440" s="23" t="s">
        <v>2548</v>
      </c>
      <c r="D440" s="23" t="s">
        <v>3663</v>
      </c>
      <c r="E440" s="23" t="s">
        <v>1517</v>
      </c>
      <c r="F440" s="23">
        <v>11</v>
      </c>
      <c r="G440" s="23">
        <v>4530.5600000000004</v>
      </c>
      <c r="H440" s="23">
        <v>49836.160000000003</v>
      </c>
    </row>
    <row r="441" spans="1:8">
      <c r="A441" s="27">
        <v>45116</v>
      </c>
      <c r="B441" s="23" t="s">
        <v>1538</v>
      </c>
      <c r="C441" s="23" t="s">
        <v>2551</v>
      </c>
      <c r="D441" s="23" t="s">
        <v>3668</v>
      </c>
      <c r="E441" s="23" t="s">
        <v>3657</v>
      </c>
      <c r="F441" s="23">
        <v>12</v>
      </c>
      <c r="G441" s="23">
        <v>4003.52</v>
      </c>
      <c r="H441" s="23">
        <v>48042.239999999998</v>
      </c>
    </row>
    <row r="442" spans="1:8">
      <c r="A442" s="27">
        <v>44990</v>
      </c>
      <c r="B442" s="23" t="s">
        <v>1535</v>
      </c>
      <c r="C442" s="23" t="s">
        <v>2549</v>
      </c>
      <c r="D442" s="23" t="s">
        <v>3654</v>
      </c>
      <c r="E442" s="23" t="s">
        <v>1517</v>
      </c>
      <c r="F442" s="23">
        <v>1</v>
      </c>
      <c r="G442" s="23">
        <v>3059.01</v>
      </c>
      <c r="H442" s="23">
        <v>3059.01</v>
      </c>
    </row>
    <row r="443" spans="1:8">
      <c r="A443" s="27">
        <v>45045</v>
      </c>
      <c r="B443" s="23" t="s">
        <v>1538</v>
      </c>
      <c r="C443" s="23" t="s">
        <v>2551</v>
      </c>
      <c r="D443" s="23" t="s">
        <v>3668</v>
      </c>
      <c r="E443" s="23" t="s">
        <v>1518</v>
      </c>
      <c r="F443" s="23">
        <v>1</v>
      </c>
      <c r="G443" s="23">
        <v>4815.0600000000004</v>
      </c>
      <c r="H443" s="23">
        <v>4815.0600000000004</v>
      </c>
    </row>
    <row r="444" spans="1:8">
      <c r="A444" s="27">
        <v>45278</v>
      </c>
      <c r="B444" s="23" t="s">
        <v>1537</v>
      </c>
      <c r="C444" s="23" t="s">
        <v>2552</v>
      </c>
      <c r="D444" s="23" t="s">
        <v>3655</v>
      </c>
      <c r="E444" s="23" t="s">
        <v>1517</v>
      </c>
      <c r="F444" s="23">
        <v>3</v>
      </c>
      <c r="G444" s="23">
        <v>1139.5899999999999</v>
      </c>
      <c r="H444" s="23">
        <v>3418.77</v>
      </c>
    </row>
    <row r="445" spans="1:8">
      <c r="A445" s="27">
        <v>45003</v>
      </c>
      <c r="B445" s="23" t="s">
        <v>1537</v>
      </c>
      <c r="C445" s="23" t="s">
        <v>2552</v>
      </c>
      <c r="D445" s="23" t="s">
        <v>3667</v>
      </c>
      <c r="E445" s="23" t="s">
        <v>1516</v>
      </c>
      <c r="F445" s="23">
        <v>12</v>
      </c>
      <c r="G445" s="23">
        <v>596.13</v>
      </c>
      <c r="H445" s="23">
        <v>7153.56</v>
      </c>
    </row>
    <row r="446" spans="1:8">
      <c r="A446" s="27">
        <v>45026</v>
      </c>
      <c r="B446" s="23" t="s">
        <v>1537</v>
      </c>
      <c r="C446" s="23" t="s">
        <v>2552</v>
      </c>
      <c r="D446" s="23" t="s">
        <v>3667</v>
      </c>
      <c r="E446" s="23" t="s">
        <v>3657</v>
      </c>
      <c r="F446" s="23">
        <v>15</v>
      </c>
      <c r="G446" s="23">
        <v>4262.53</v>
      </c>
      <c r="H446" s="23">
        <v>63937.95</v>
      </c>
    </row>
    <row r="447" spans="1:8">
      <c r="A447" s="27">
        <v>45231</v>
      </c>
      <c r="B447" s="23" t="s">
        <v>1538</v>
      </c>
      <c r="C447" s="23" t="s">
        <v>2551</v>
      </c>
      <c r="D447" s="23" t="s">
        <v>3659</v>
      </c>
      <c r="E447" s="23" t="s">
        <v>3657</v>
      </c>
      <c r="F447" s="23">
        <v>18</v>
      </c>
      <c r="G447" s="23">
        <v>4059.82</v>
      </c>
      <c r="H447" s="23">
        <v>73076.759999999995</v>
      </c>
    </row>
    <row r="448" spans="1:8">
      <c r="A448" s="27">
        <v>45274</v>
      </c>
      <c r="B448" s="23" t="s">
        <v>1537</v>
      </c>
      <c r="C448" s="23" t="s">
        <v>2550</v>
      </c>
      <c r="D448" s="23" t="s">
        <v>3656</v>
      </c>
      <c r="E448" s="23" t="s">
        <v>1517</v>
      </c>
      <c r="F448" s="23">
        <v>5</v>
      </c>
      <c r="G448" s="23">
        <v>278.31</v>
      </c>
      <c r="H448" s="23">
        <v>1391.55</v>
      </c>
    </row>
    <row r="449" spans="1:8">
      <c r="A449" s="27">
        <v>45244</v>
      </c>
      <c r="B449" s="23" t="s">
        <v>1538</v>
      </c>
      <c r="C449" s="23" t="s">
        <v>2551</v>
      </c>
      <c r="D449" s="23" t="s">
        <v>3659</v>
      </c>
      <c r="E449" s="23" t="s">
        <v>1517</v>
      </c>
      <c r="F449" s="23">
        <v>5</v>
      </c>
      <c r="G449" s="23">
        <v>2423.83</v>
      </c>
      <c r="H449" s="23">
        <v>12119.15</v>
      </c>
    </row>
    <row r="450" spans="1:8">
      <c r="A450" s="27">
        <v>45107</v>
      </c>
      <c r="B450" s="23" t="s">
        <v>1535</v>
      </c>
      <c r="C450" s="23" t="s">
        <v>2548</v>
      </c>
      <c r="D450" s="23" t="s">
        <v>3663</v>
      </c>
      <c r="E450" s="23" t="s">
        <v>1514</v>
      </c>
      <c r="F450" s="23">
        <v>8</v>
      </c>
      <c r="G450" s="23">
        <v>1916.14</v>
      </c>
      <c r="H450" s="23">
        <v>15329.12</v>
      </c>
    </row>
    <row r="451" spans="1:8">
      <c r="A451" s="27">
        <v>45230</v>
      </c>
      <c r="B451" s="23" t="s">
        <v>1538</v>
      </c>
      <c r="C451" s="23" t="s">
        <v>2551</v>
      </c>
      <c r="D451" s="23" t="s">
        <v>3659</v>
      </c>
      <c r="E451" s="23" t="s">
        <v>1517</v>
      </c>
      <c r="F451" s="23">
        <v>14</v>
      </c>
      <c r="G451" s="23">
        <v>1598.93</v>
      </c>
      <c r="H451" s="23">
        <v>22385.02</v>
      </c>
    </row>
    <row r="452" spans="1:8">
      <c r="A452" s="27">
        <v>45174</v>
      </c>
      <c r="B452" s="23" t="s">
        <v>1535</v>
      </c>
      <c r="C452" s="23" t="s">
        <v>2549</v>
      </c>
      <c r="D452" s="23" t="s">
        <v>3660</v>
      </c>
      <c r="E452" s="23" t="s">
        <v>1517</v>
      </c>
      <c r="F452" s="23">
        <v>20</v>
      </c>
      <c r="G452" s="23">
        <v>3474.05</v>
      </c>
      <c r="H452" s="23">
        <v>69481</v>
      </c>
    </row>
    <row r="453" spans="1:8">
      <c r="A453" s="27">
        <v>44987</v>
      </c>
      <c r="B453" s="23" t="s">
        <v>1535</v>
      </c>
      <c r="C453" s="23" t="s">
        <v>2549</v>
      </c>
      <c r="D453" s="23" t="s">
        <v>3660</v>
      </c>
      <c r="E453" s="23" t="s">
        <v>3657</v>
      </c>
      <c r="F453" s="23">
        <v>18</v>
      </c>
      <c r="G453" s="23">
        <v>1306.19</v>
      </c>
      <c r="H453" s="23">
        <v>23511.42</v>
      </c>
    </row>
    <row r="454" spans="1:8">
      <c r="A454" s="27">
        <v>45162</v>
      </c>
      <c r="B454" s="23" t="s">
        <v>1537</v>
      </c>
      <c r="C454" s="23" t="s">
        <v>2552</v>
      </c>
      <c r="D454" s="23" t="s">
        <v>3655</v>
      </c>
      <c r="E454" s="23" t="s">
        <v>1514</v>
      </c>
      <c r="F454" s="23">
        <v>1</v>
      </c>
      <c r="G454" s="23">
        <v>2710.27</v>
      </c>
      <c r="H454" s="23">
        <v>2710.27</v>
      </c>
    </row>
    <row r="455" spans="1:8">
      <c r="A455" s="27">
        <v>45028</v>
      </c>
      <c r="B455" s="23" t="s">
        <v>1535</v>
      </c>
      <c r="C455" s="23" t="s">
        <v>2548</v>
      </c>
      <c r="D455" s="23" t="s">
        <v>3666</v>
      </c>
      <c r="E455" s="23" t="s">
        <v>1517</v>
      </c>
      <c r="F455" s="23">
        <v>19</v>
      </c>
      <c r="G455" s="23">
        <v>713.8</v>
      </c>
      <c r="H455" s="23">
        <v>13562.2</v>
      </c>
    </row>
    <row r="456" spans="1:8">
      <c r="A456" s="27">
        <v>45038</v>
      </c>
      <c r="B456" s="23" t="s">
        <v>1535</v>
      </c>
      <c r="C456" s="23" t="s">
        <v>2548</v>
      </c>
      <c r="D456" s="23" t="s">
        <v>3663</v>
      </c>
      <c r="E456" s="23" t="s">
        <v>1516</v>
      </c>
      <c r="F456" s="23">
        <v>6</v>
      </c>
      <c r="G456" s="23">
        <v>1016.27</v>
      </c>
      <c r="H456" s="23">
        <v>6097.62</v>
      </c>
    </row>
    <row r="457" spans="1:8">
      <c r="A457" s="27">
        <v>45148</v>
      </c>
      <c r="B457" s="23" t="s">
        <v>1538</v>
      </c>
      <c r="C457" s="23" t="s">
        <v>2551</v>
      </c>
      <c r="D457" s="23" t="s">
        <v>3669</v>
      </c>
      <c r="E457" s="23" t="s">
        <v>1516</v>
      </c>
      <c r="F457" s="23">
        <v>17</v>
      </c>
      <c r="G457" s="23">
        <v>1645.97</v>
      </c>
      <c r="H457" s="23">
        <v>27981.49</v>
      </c>
    </row>
    <row r="458" spans="1:8">
      <c r="A458" s="27">
        <v>45220</v>
      </c>
      <c r="B458" s="23" t="s">
        <v>1537</v>
      </c>
      <c r="C458" s="23" t="s">
        <v>2552</v>
      </c>
      <c r="D458" s="23" t="s">
        <v>3655</v>
      </c>
      <c r="E458" s="23" t="s">
        <v>3657</v>
      </c>
      <c r="F458" s="23">
        <v>13</v>
      </c>
      <c r="G458" s="23">
        <v>1976.63</v>
      </c>
      <c r="H458" s="23">
        <v>25696.19</v>
      </c>
    </row>
    <row r="459" spans="1:8">
      <c r="A459" s="27">
        <v>44996</v>
      </c>
      <c r="B459" s="23" t="s">
        <v>1535</v>
      </c>
      <c r="C459" s="23" t="s">
        <v>2549</v>
      </c>
      <c r="D459" s="23" t="s">
        <v>3654</v>
      </c>
      <c r="E459" s="23" t="s">
        <v>1516</v>
      </c>
      <c r="F459" s="23">
        <v>20</v>
      </c>
      <c r="G459" s="23">
        <v>1222.92</v>
      </c>
      <c r="H459" s="23">
        <v>24458.400000000001</v>
      </c>
    </row>
    <row r="460" spans="1:8">
      <c r="A460" s="27">
        <v>45120</v>
      </c>
      <c r="B460" s="23" t="s">
        <v>1537</v>
      </c>
      <c r="C460" s="23" t="s">
        <v>2550</v>
      </c>
      <c r="D460" s="23" t="s">
        <v>3661</v>
      </c>
      <c r="E460" s="23" t="s">
        <v>1514</v>
      </c>
      <c r="F460" s="23">
        <v>9</v>
      </c>
      <c r="G460" s="23">
        <v>491.64</v>
      </c>
      <c r="H460" s="23">
        <v>4424.76</v>
      </c>
    </row>
    <row r="461" spans="1:8">
      <c r="A461" s="27">
        <v>44996</v>
      </c>
      <c r="B461" s="23" t="s">
        <v>1535</v>
      </c>
      <c r="C461" s="23" t="s">
        <v>2549</v>
      </c>
      <c r="D461" s="23" t="s">
        <v>3665</v>
      </c>
      <c r="E461" s="23" t="s">
        <v>3657</v>
      </c>
      <c r="F461" s="23">
        <v>5</v>
      </c>
      <c r="G461" s="23">
        <v>2583.81</v>
      </c>
      <c r="H461" s="23">
        <v>12919.05</v>
      </c>
    </row>
    <row r="462" spans="1:8">
      <c r="A462" s="27">
        <v>45229</v>
      </c>
      <c r="B462" s="23" t="s">
        <v>1535</v>
      </c>
      <c r="C462" s="23" t="s">
        <v>2549</v>
      </c>
      <c r="D462" s="23" t="s">
        <v>3654</v>
      </c>
      <c r="E462" s="23" t="s">
        <v>1516</v>
      </c>
      <c r="F462" s="23">
        <v>5</v>
      </c>
      <c r="G462" s="23">
        <v>3288.58</v>
      </c>
      <c r="H462" s="23">
        <v>16442.900000000001</v>
      </c>
    </row>
    <row r="463" spans="1:8">
      <c r="A463" s="27">
        <v>45262</v>
      </c>
      <c r="B463" s="23" t="s">
        <v>1537</v>
      </c>
      <c r="C463" s="23" t="s">
        <v>2552</v>
      </c>
      <c r="D463" s="23" t="s">
        <v>3662</v>
      </c>
      <c r="E463" s="23" t="s">
        <v>1516</v>
      </c>
      <c r="F463" s="23">
        <v>3</v>
      </c>
      <c r="G463" s="23">
        <v>3445.08</v>
      </c>
      <c r="H463" s="23">
        <v>10335.24</v>
      </c>
    </row>
    <row r="464" spans="1:8">
      <c r="A464" s="27">
        <v>45291</v>
      </c>
      <c r="B464" s="23" t="s">
        <v>1535</v>
      </c>
      <c r="C464" s="23" t="s">
        <v>2549</v>
      </c>
      <c r="D464" s="23" t="s">
        <v>3665</v>
      </c>
      <c r="E464" s="23" t="s">
        <v>1518</v>
      </c>
      <c r="F464" s="23">
        <v>10</v>
      </c>
      <c r="G464" s="23">
        <v>3806.67</v>
      </c>
      <c r="H464" s="23">
        <v>38066.699999999997</v>
      </c>
    </row>
    <row r="465" spans="1:8">
      <c r="A465" s="27">
        <v>45162</v>
      </c>
      <c r="B465" s="23" t="s">
        <v>1535</v>
      </c>
      <c r="C465" s="23" t="s">
        <v>2548</v>
      </c>
      <c r="D465" s="23" t="s">
        <v>3663</v>
      </c>
      <c r="E465" s="23" t="s">
        <v>1514</v>
      </c>
      <c r="F465" s="23">
        <v>16</v>
      </c>
      <c r="G465" s="23">
        <v>796.69</v>
      </c>
      <c r="H465" s="23">
        <v>12747.04</v>
      </c>
    </row>
    <row r="466" spans="1:8">
      <c r="A466" s="27">
        <v>44969</v>
      </c>
      <c r="B466" s="23" t="s">
        <v>1538</v>
      </c>
      <c r="C466" s="23" t="s">
        <v>2551</v>
      </c>
      <c r="D466" s="23" t="s">
        <v>3669</v>
      </c>
      <c r="E466" s="23" t="s">
        <v>1517</v>
      </c>
      <c r="F466" s="23">
        <v>1</v>
      </c>
      <c r="G466" s="23">
        <v>2489.17</v>
      </c>
      <c r="H466" s="23">
        <v>2489.17</v>
      </c>
    </row>
    <row r="467" spans="1:8">
      <c r="A467" s="27">
        <v>45146</v>
      </c>
      <c r="B467" s="23" t="s">
        <v>1535</v>
      </c>
      <c r="C467" s="23" t="s">
        <v>2549</v>
      </c>
      <c r="D467" s="23" t="s">
        <v>3654</v>
      </c>
      <c r="E467" s="23" t="s">
        <v>1514</v>
      </c>
      <c r="F467" s="23">
        <v>6</v>
      </c>
      <c r="G467" s="23">
        <v>1701.04</v>
      </c>
      <c r="H467" s="23">
        <v>10206.24</v>
      </c>
    </row>
    <row r="468" spans="1:8">
      <c r="A468" s="27">
        <v>45028</v>
      </c>
      <c r="B468" s="23" t="s">
        <v>1538</v>
      </c>
      <c r="C468" s="23" t="s">
        <v>2551</v>
      </c>
      <c r="D468" s="23" t="s">
        <v>3659</v>
      </c>
      <c r="E468" s="23" t="s">
        <v>3657</v>
      </c>
      <c r="F468" s="23">
        <v>5</v>
      </c>
      <c r="G468" s="23">
        <v>143.78</v>
      </c>
      <c r="H468" s="23">
        <v>718.9</v>
      </c>
    </row>
    <row r="469" spans="1:8">
      <c r="A469" s="27">
        <v>45256</v>
      </c>
      <c r="B469" s="23" t="s">
        <v>1535</v>
      </c>
      <c r="C469" s="23" t="s">
        <v>2549</v>
      </c>
      <c r="D469" s="23" t="s">
        <v>3660</v>
      </c>
      <c r="E469" s="23" t="s">
        <v>1514</v>
      </c>
      <c r="F469" s="23">
        <v>20</v>
      </c>
      <c r="G469" s="23">
        <v>1260.25</v>
      </c>
      <c r="H469" s="23">
        <v>25205</v>
      </c>
    </row>
    <row r="470" spans="1:8">
      <c r="A470" s="27">
        <v>44969</v>
      </c>
      <c r="B470" s="23" t="s">
        <v>1535</v>
      </c>
      <c r="C470" s="23" t="s">
        <v>2549</v>
      </c>
      <c r="D470" s="23" t="s">
        <v>3665</v>
      </c>
      <c r="E470" s="23" t="s">
        <v>3657</v>
      </c>
      <c r="F470" s="23">
        <v>18</v>
      </c>
      <c r="G470" s="23">
        <v>3040.28</v>
      </c>
      <c r="H470" s="23">
        <v>54725.04</v>
      </c>
    </row>
    <row r="471" spans="1:8">
      <c r="A471" s="27">
        <v>45097</v>
      </c>
      <c r="B471" s="23" t="s">
        <v>1535</v>
      </c>
      <c r="C471" s="23" t="s">
        <v>2548</v>
      </c>
      <c r="D471" s="23" t="s">
        <v>3663</v>
      </c>
      <c r="E471" s="23" t="s">
        <v>1514</v>
      </c>
      <c r="F471" s="23">
        <v>4</v>
      </c>
      <c r="G471" s="23">
        <v>3561.12</v>
      </c>
      <c r="H471" s="23">
        <v>14244.48</v>
      </c>
    </row>
    <row r="472" spans="1:8">
      <c r="A472" s="27">
        <v>45279</v>
      </c>
      <c r="B472" s="23" t="s">
        <v>1535</v>
      </c>
      <c r="C472" s="23" t="s">
        <v>2549</v>
      </c>
      <c r="D472" s="23" t="s">
        <v>3654</v>
      </c>
      <c r="E472" s="23" t="s">
        <v>1514</v>
      </c>
      <c r="F472" s="23">
        <v>19</v>
      </c>
      <c r="G472" s="23">
        <v>3718.59</v>
      </c>
      <c r="H472" s="23">
        <v>70653.210000000006</v>
      </c>
    </row>
    <row r="473" spans="1:8">
      <c r="A473" s="27">
        <v>44940</v>
      </c>
      <c r="B473" s="23" t="s">
        <v>1538</v>
      </c>
      <c r="C473" s="23" t="s">
        <v>2551</v>
      </c>
      <c r="D473" s="23" t="s">
        <v>3668</v>
      </c>
      <c r="E473" s="23" t="s">
        <v>1517</v>
      </c>
      <c r="F473" s="23">
        <v>12</v>
      </c>
      <c r="G473" s="23">
        <v>4011.85</v>
      </c>
      <c r="H473" s="23">
        <v>48142.2</v>
      </c>
    </row>
    <row r="474" spans="1:8">
      <c r="A474" s="27">
        <v>45033</v>
      </c>
      <c r="B474" s="23" t="s">
        <v>1538</v>
      </c>
      <c r="C474" s="23" t="s">
        <v>2551</v>
      </c>
      <c r="D474" s="23" t="s">
        <v>3668</v>
      </c>
      <c r="E474" s="23" t="s">
        <v>1514</v>
      </c>
      <c r="F474" s="23">
        <v>13</v>
      </c>
      <c r="G474" s="23">
        <v>4542.74</v>
      </c>
      <c r="H474" s="23">
        <v>59055.62</v>
      </c>
    </row>
    <row r="475" spans="1:8">
      <c r="A475" s="27">
        <v>45094</v>
      </c>
      <c r="B475" s="23" t="s">
        <v>1537</v>
      </c>
      <c r="C475" s="23" t="s">
        <v>2550</v>
      </c>
      <c r="D475" s="23" t="s">
        <v>3658</v>
      </c>
      <c r="E475" s="23" t="s">
        <v>1516</v>
      </c>
      <c r="F475" s="23">
        <v>15</v>
      </c>
      <c r="G475" s="23">
        <v>3048.36</v>
      </c>
      <c r="H475" s="23">
        <v>45725.4</v>
      </c>
    </row>
    <row r="476" spans="1:8">
      <c r="A476" s="27">
        <v>45004</v>
      </c>
      <c r="B476" s="23" t="s">
        <v>1537</v>
      </c>
      <c r="C476" s="23" t="s">
        <v>2550</v>
      </c>
      <c r="D476" s="23" t="s">
        <v>3656</v>
      </c>
      <c r="E476" s="23" t="s">
        <v>1517</v>
      </c>
      <c r="F476" s="23">
        <v>4</v>
      </c>
      <c r="G476" s="23">
        <v>366.33</v>
      </c>
      <c r="H476" s="23">
        <v>1465.32</v>
      </c>
    </row>
    <row r="477" spans="1:8">
      <c r="A477" s="27">
        <v>44940</v>
      </c>
      <c r="B477" s="23" t="s">
        <v>1538</v>
      </c>
      <c r="C477" s="23" t="s">
        <v>2551</v>
      </c>
      <c r="D477" s="23" t="s">
        <v>3668</v>
      </c>
      <c r="E477" s="23" t="s">
        <v>3657</v>
      </c>
      <c r="F477" s="23">
        <v>9</v>
      </c>
      <c r="G477" s="23">
        <v>3137.87</v>
      </c>
      <c r="H477" s="23">
        <v>28240.83</v>
      </c>
    </row>
    <row r="478" spans="1:8">
      <c r="A478" s="27">
        <v>45227</v>
      </c>
      <c r="B478" s="23" t="s">
        <v>1538</v>
      </c>
      <c r="C478" s="23" t="s">
        <v>2551</v>
      </c>
      <c r="D478" s="23" t="s">
        <v>3668</v>
      </c>
      <c r="E478" s="23" t="s">
        <v>1516</v>
      </c>
      <c r="F478" s="23">
        <v>12</v>
      </c>
      <c r="G478" s="23">
        <v>225.88</v>
      </c>
      <c r="H478" s="23">
        <v>2710.56</v>
      </c>
    </row>
    <row r="479" spans="1:8">
      <c r="A479" s="27">
        <v>45168</v>
      </c>
      <c r="B479" s="23" t="s">
        <v>1537</v>
      </c>
      <c r="C479" s="23" t="s">
        <v>2550</v>
      </c>
      <c r="D479" s="23" t="s">
        <v>3661</v>
      </c>
      <c r="E479" s="23" t="s">
        <v>3657</v>
      </c>
      <c r="F479" s="23">
        <v>11</v>
      </c>
      <c r="G479" s="23">
        <v>920.95</v>
      </c>
      <c r="H479" s="23">
        <v>10130.450000000001</v>
      </c>
    </row>
    <row r="480" spans="1:8">
      <c r="A480" s="27">
        <v>45058</v>
      </c>
      <c r="B480" s="23" t="s">
        <v>1538</v>
      </c>
      <c r="C480" s="23" t="s">
        <v>2551</v>
      </c>
      <c r="D480" s="23" t="s">
        <v>3669</v>
      </c>
      <c r="E480" s="23" t="s">
        <v>3657</v>
      </c>
      <c r="F480" s="23">
        <v>16</v>
      </c>
      <c r="G480" s="23">
        <v>2991.84</v>
      </c>
      <c r="H480" s="23">
        <v>47869.440000000002</v>
      </c>
    </row>
    <row r="481" spans="1:8">
      <c r="A481" s="27">
        <v>45141</v>
      </c>
      <c r="B481" s="23" t="s">
        <v>1538</v>
      </c>
      <c r="C481" s="23" t="s">
        <v>2551</v>
      </c>
      <c r="D481" s="23" t="s">
        <v>3659</v>
      </c>
      <c r="E481" s="23" t="s">
        <v>1518</v>
      </c>
      <c r="F481" s="23">
        <v>18</v>
      </c>
      <c r="G481" s="23">
        <v>3287.05</v>
      </c>
      <c r="H481" s="23">
        <v>59166.9</v>
      </c>
    </row>
    <row r="482" spans="1:8">
      <c r="A482" s="27">
        <v>45253</v>
      </c>
      <c r="B482" s="23" t="s">
        <v>1537</v>
      </c>
      <c r="C482" s="23" t="s">
        <v>2552</v>
      </c>
      <c r="D482" s="23" t="s">
        <v>3662</v>
      </c>
      <c r="E482" s="23" t="s">
        <v>3657</v>
      </c>
      <c r="F482" s="23">
        <v>12</v>
      </c>
      <c r="G482" s="23">
        <v>1748.6</v>
      </c>
      <c r="H482" s="23">
        <v>20983.200000000001</v>
      </c>
    </row>
    <row r="483" spans="1:8">
      <c r="A483" s="27">
        <v>45132</v>
      </c>
      <c r="B483" s="23" t="s">
        <v>1537</v>
      </c>
      <c r="C483" s="23" t="s">
        <v>2552</v>
      </c>
      <c r="D483" s="23" t="s">
        <v>3662</v>
      </c>
      <c r="E483" s="23" t="s">
        <v>1516</v>
      </c>
      <c r="F483" s="23">
        <v>10</v>
      </c>
      <c r="G483" s="23">
        <v>159.27000000000001</v>
      </c>
      <c r="H483" s="23">
        <v>1592.7</v>
      </c>
    </row>
    <row r="484" spans="1:8">
      <c r="A484" s="27">
        <v>45200</v>
      </c>
      <c r="B484" s="23" t="s">
        <v>1535</v>
      </c>
      <c r="C484" s="23" t="s">
        <v>2548</v>
      </c>
      <c r="D484" s="23" t="s">
        <v>3666</v>
      </c>
      <c r="E484" s="23" t="s">
        <v>1516</v>
      </c>
      <c r="F484" s="23">
        <v>20</v>
      </c>
      <c r="G484" s="23">
        <v>4712.75</v>
      </c>
      <c r="H484" s="23">
        <v>94255</v>
      </c>
    </row>
    <row r="485" spans="1:8">
      <c r="A485" s="27">
        <v>45132</v>
      </c>
      <c r="B485" s="23" t="s">
        <v>1537</v>
      </c>
      <c r="C485" s="23" t="s">
        <v>2550</v>
      </c>
      <c r="D485" s="23" t="s">
        <v>3656</v>
      </c>
      <c r="E485" s="23" t="s">
        <v>1518</v>
      </c>
      <c r="F485" s="23">
        <v>12</v>
      </c>
      <c r="G485" s="23">
        <v>2821.2</v>
      </c>
      <c r="H485" s="23">
        <v>33854.400000000001</v>
      </c>
    </row>
    <row r="486" spans="1:8">
      <c r="A486" s="27">
        <v>45114</v>
      </c>
      <c r="B486" s="23" t="s">
        <v>1537</v>
      </c>
      <c r="C486" s="23" t="s">
        <v>2550</v>
      </c>
      <c r="D486" s="23" t="s">
        <v>3661</v>
      </c>
      <c r="E486" s="23" t="s">
        <v>3657</v>
      </c>
      <c r="F486" s="23">
        <v>20</v>
      </c>
      <c r="G486" s="23">
        <v>3891.28</v>
      </c>
      <c r="H486" s="23">
        <v>77825.600000000006</v>
      </c>
    </row>
    <row r="487" spans="1:8">
      <c r="A487" s="27">
        <v>45080</v>
      </c>
      <c r="B487" s="23" t="s">
        <v>1535</v>
      </c>
      <c r="C487" s="23" t="s">
        <v>2549</v>
      </c>
      <c r="D487" s="23" t="s">
        <v>3660</v>
      </c>
      <c r="E487" s="23" t="s">
        <v>1516</v>
      </c>
      <c r="F487" s="23">
        <v>16</v>
      </c>
      <c r="G487" s="23">
        <v>3599.32</v>
      </c>
      <c r="H487" s="23">
        <v>57589.120000000003</v>
      </c>
    </row>
    <row r="488" spans="1:8">
      <c r="A488" s="27">
        <v>44968</v>
      </c>
      <c r="B488" s="23" t="s">
        <v>1535</v>
      </c>
      <c r="C488" s="23" t="s">
        <v>2548</v>
      </c>
      <c r="D488" s="23" t="s">
        <v>3664</v>
      </c>
      <c r="E488" s="23" t="s">
        <v>1518</v>
      </c>
      <c r="F488" s="23">
        <v>20</v>
      </c>
      <c r="G488" s="23">
        <v>633.87</v>
      </c>
      <c r="H488" s="23">
        <v>12677.4</v>
      </c>
    </row>
    <row r="489" spans="1:8">
      <c r="A489" s="27">
        <v>45257</v>
      </c>
      <c r="B489" s="23" t="s">
        <v>1535</v>
      </c>
      <c r="C489" s="23" t="s">
        <v>2548</v>
      </c>
      <c r="D489" s="23" t="s">
        <v>3664</v>
      </c>
      <c r="E489" s="23" t="s">
        <v>1514</v>
      </c>
      <c r="F489" s="23">
        <v>1</v>
      </c>
      <c r="G489" s="23">
        <v>983.24</v>
      </c>
      <c r="H489" s="23">
        <v>983.24</v>
      </c>
    </row>
    <row r="490" spans="1:8">
      <c r="A490" s="27">
        <v>45119</v>
      </c>
      <c r="B490" s="23" t="s">
        <v>1537</v>
      </c>
      <c r="C490" s="23" t="s">
        <v>2550</v>
      </c>
      <c r="D490" s="23" t="s">
        <v>3658</v>
      </c>
      <c r="E490" s="23" t="s">
        <v>1514</v>
      </c>
      <c r="F490" s="23">
        <v>9</v>
      </c>
      <c r="G490" s="23">
        <v>2427.88</v>
      </c>
      <c r="H490" s="23">
        <v>21850.92</v>
      </c>
    </row>
    <row r="491" spans="1:8">
      <c r="A491" s="27">
        <v>45253</v>
      </c>
      <c r="B491" s="23" t="s">
        <v>1537</v>
      </c>
      <c r="C491" s="23" t="s">
        <v>2552</v>
      </c>
      <c r="D491" s="23" t="s">
        <v>3662</v>
      </c>
      <c r="E491" s="23" t="s">
        <v>1516</v>
      </c>
      <c r="F491" s="23">
        <v>16</v>
      </c>
      <c r="G491" s="23">
        <v>2600.48</v>
      </c>
      <c r="H491" s="23">
        <v>41607.68</v>
      </c>
    </row>
    <row r="492" spans="1:8">
      <c r="A492" s="27">
        <v>45013</v>
      </c>
      <c r="B492" s="23" t="s">
        <v>1538</v>
      </c>
      <c r="C492" s="23" t="s">
        <v>2551</v>
      </c>
      <c r="D492" s="23" t="s">
        <v>3659</v>
      </c>
      <c r="E492" s="23" t="s">
        <v>1514</v>
      </c>
      <c r="F492" s="23">
        <v>1</v>
      </c>
      <c r="G492" s="23">
        <v>1967.8</v>
      </c>
      <c r="H492" s="23">
        <v>1967.8</v>
      </c>
    </row>
    <row r="493" spans="1:8">
      <c r="A493" s="27">
        <v>45141</v>
      </c>
      <c r="B493" s="23" t="s">
        <v>1535</v>
      </c>
      <c r="C493" s="23" t="s">
        <v>2549</v>
      </c>
      <c r="D493" s="23" t="s">
        <v>3654</v>
      </c>
      <c r="E493" s="23" t="s">
        <v>1517</v>
      </c>
      <c r="F493" s="23">
        <v>14</v>
      </c>
      <c r="G493" s="23">
        <v>2918.42</v>
      </c>
      <c r="H493" s="23">
        <v>40857.879999999997</v>
      </c>
    </row>
    <row r="494" spans="1:8">
      <c r="A494" s="27">
        <v>45267</v>
      </c>
      <c r="B494" s="23" t="s">
        <v>1538</v>
      </c>
      <c r="C494" s="23" t="s">
        <v>2551</v>
      </c>
      <c r="D494" s="23" t="s">
        <v>3669</v>
      </c>
      <c r="E494" s="23" t="s">
        <v>1517</v>
      </c>
      <c r="F494" s="23">
        <v>20</v>
      </c>
      <c r="G494" s="23">
        <v>4821.82</v>
      </c>
      <c r="H494" s="23">
        <v>96436.4</v>
      </c>
    </row>
    <row r="495" spans="1:8">
      <c r="A495" s="27">
        <v>45287</v>
      </c>
      <c r="B495" s="23" t="s">
        <v>1535</v>
      </c>
      <c r="C495" s="23" t="s">
        <v>2549</v>
      </c>
      <c r="D495" s="23" t="s">
        <v>3665</v>
      </c>
      <c r="E495" s="23" t="s">
        <v>1518</v>
      </c>
      <c r="F495" s="23">
        <v>11</v>
      </c>
      <c r="G495" s="23">
        <v>923.59</v>
      </c>
      <c r="H495" s="23">
        <v>10159.49</v>
      </c>
    </row>
    <row r="496" spans="1:8">
      <c r="A496" s="27">
        <v>45028</v>
      </c>
      <c r="B496" s="23" t="s">
        <v>1538</v>
      </c>
      <c r="C496" s="23" t="s">
        <v>2551</v>
      </c>
      <c r="D496" s="23" t="s">
        <v>3659</v>
      </c>
      <c r="E496" s="23" t="s">
        <v>1517</v>
      </c>
      <c r="F496" s="23">
        <v>1</v>
      </c>
      <c r="G496" s="23">
        <v>1410.8</v>
      </c>
      <c r="H496" s="23">
        <v>1410.8</v>
      </c>
    </row>
    <row r="497" spans="1:8">
      <c r="A497" s="27">
        <v>45003</v>
      </c>
      <c r="B497" s="23" t="s">
        <v>1537</v>
      </c>
      <c r="C497" s="23" t="s">
        <v>2550</v>
      </c>
      <c r="D497" s="23" t="s">
        <v>3658</v>
      </c>
      <c r="E497" s="23" t="s">
        <v>1516</v>
      </c>
      <c r="F497" s="23">
        <v>16</v>
      </c>
      <c r="G497" s="23">
        <v>874.99</v>
      </c>
      <c r="H497" s="23">
        <v>13999.84</v>
      </c>
    </row>
    <row r="498" spans="1:8">
      <c r="A498" s="27">
        <v>45172</v>
      </c>
      <c r="B498" s="23" t="s">
        <v>1538</v>
      </c>
      <c r="C498" s="23" t="s">
        <v>2551</v>
      </c>
      <c r="D498" s="23" t="s">
        <v>3669</v>
      </c>
      <c r="E498" s="23" t="s">
        <v>1514</v>
      </c>
      <c r="F498" s="23">
        <v>5</v>
      </c>
      <c r="G498" s="23">
        <v>4165.41</v>
      </c>
      <c r="H498" s="23">
        <v>20827.05</v>
      </c>
    </row>
    <row r="499" spans="1:8">
      <c r="A499" s="27">
        <v>44940</v>
      </c>
      <c r="B499" s="23" t="s">
        <v>1537</v>
      </c>
      <c r="C499" s="23" t="s">
        <v>2550</v>
      </c>
      <c r="D499" s="23" t="s">
        <v>3658</v>
      </c>
      <c r="E499" s="23" t="s">
        <v>1517</v>
      </c>
      <c r="F499" s="23">
        <v>2</v>
      </c>
      <c r="G499" s="23">
        <v>3072.48</v>
      </c>
      <c r="H499" s="23">
        <v>6144.96</v>
      </c>
    </row>
    <row r="500" spans="1:8">
      <c r="A500" s="27">
        <v>45199</v>
      </c>
      <c r="B500" s="23" t="s">
        <v>1535</v>
      </c>
      <c r="C500" s="23" t="s">
        <v>2548</v>
      </c>
      <c r="D500" s="23" t="s">
        <v>3666</v>
      </c>
      <c r="E500" s="23" t="s">
        <v>1516</v>
      </c>
      <c r="F500" s="23">
        <v>11</v>
      </c>
      <c r="G500" s="23">
        <v>793.45</v>
      </c>
      <c r="H500" s="23">
        <v>8727.9500000000007</v>
      </c>
    </row>
    <row r="501" spans="1:8">
      <c r="A501" s="27">
        <v>45124</v>
      </c>
      <c r="B501" s="23" t="s">
        <v>1538</v>
      </c>
      <c r="C501" s="23" t="s">
        <v>2551</v>
      </c>
      <c r="D501" s="23" t="s">
        <v>3668</v>
      </c>
      <c r="E501" s="23" t="s">
        <v>1518</v>
      </c>
      <c r="F501" s="23">
        <v>3</v>
      </c>
      <c r="G501" s="23">
        <v>2040.38</v>
      </c>
      <c r="H501" s="23">
        <v>6121.14</v>
      </c>
    </row>
    <row r="502" spans="1:8">
      <c r="A502" s="27">
        <v>44985</v>
      </c>
      <c r="B502" s="23" t="s">
        <v>1535</v>
      </c>
      <c r="C502" s="23" t="s">
        <v>2549</v>
      </c>
      <c r="D502" s="23" t="s">
        <v>3654</v>
      </c>
      <c r="E502" s="23" t="s">
        <v>3657</v>
      </c>
      <c r="F502" s="23">
        <v>4</v>
      </c>
      <c r="G502" s="23">
        <v>1080.1600000000001</v>
      </c>
      <c r="H502" s="23">
        <v>4320.6400000000003</v>
      </c>
    </row>
    <row r="503" spans="1:8">
      <c r="A503" s="27">
        <v>45129</v>
      </c>
      <c r="B503" s="23" t="s">
        <v>1535</v>
      </c>
      <c r="C503" s="23" t="s">
        <v>2549</v>
      </c>
      <c r="D503" s="23" t="s">
        <v>3654</v>
      </c>
      <c r="E503" s="23" t="s">
        <v>1516</v>
      </c>
      <c r="F503" s="23">
        <v>20</v>
      </c>
      <c r="G503" s="23">
        <v>2631.58</v>
      </c>
      <c r="H503" s="23">
        <v>52631.6</v>
      </c>
    </row>
    <row r="504" spans="1:8">
      <c r="A504" s="27">
        <v>44987</v>
      </c>
      <c r="B504" s="23" t="s">
        <v>1535</v>
      </c>
      <c r="C504" s="23" t="s">
        <v>2548</v>
      </c>
      <c r="D504" s="23" t="s">
        <v>3663</v>
      </c>
      <c r="E504" s="23" t="s">
        <v>1516</v>
      </c>
      <c r="F504" s="23">
        <v>18</v>
      </c>
      <c r="G504" s="23">
        <v>1164.29</v>
      </c>
      <c r="H504" s="23">
        <v>20957.22</v>
      </c>
    </row>
    <row r="505" spans="1:8">
      <c r="A505" s="27">
        <v>45257</v>
      </c>
      <c r="B505" s="23" t="s">
        <v>1535</v>
      </c>
      <c r="C505" s="23" t="s">
        <v>2549</v>
      </c>
      <c r="D505" s="23" t="s">
        <v>3665</v>
      </c>
      <c r="E505" s="23" t="s">
        <v>1518</v>
      </c>
      <c r="F505" s="23">
        <v>6</v>
      </c>
      <c r="G505" s="23">
        <v>177.34</v>
      </c>
      <c r="H505" s="23">
        <v>1064.04</v>
      </c>
    </row>
    <row r="506" spans="1:8">
      <c r="A506" s="27">
        <v>45279</v>
      </c>
      <c r="B506" s="23" t="s">
        <v>1535</v>
      </c>
      <c r="C506" s="23" t="s">
        <v>2549</v>
      </c>
      <c r="D506" s="23" t="s">
        <v>3654</v>
      </c>
      <c r="E506" s="23" t="s">
        <v>1516</v>
      </c>
      <c r="F506" s="23">
        <v>20</v>
      </c>
      <c r="G506" s="23">
        <v>1507.52</v>
      </c>
      <c r="H506" s="23">
        <v>30150.400000000001</v>
      </c>
    </row>
    <row r="507" spans="1:8">
      <c r="A507" s="27">
        <v>45073</v>
      </c>
      <c r="B507" s="23" t="s">
        <v>1535</v>
      </c>
      <c r="C507" s="23" t="s">
        <v>2549</v>
      </c>
      <c r="D507" s="23" t="s">
        <v>3665</v>
      </c>
      <c r="E507" s="23" t="s">
        <v>1518</v>
      </c>
      <c r="F507" s="23">
        <v>10</v>
      </c>
      <c r="G507" s="23">
        <v>938.57</v>
      </c>
      <c r="H507" s="23">
        <v>9385.7000000000007</v>
      </c>
    </row>
    <row r="508" spans="1:8">
      <c r="A508" s="27">
        <v>45043</v>
      </c>
      <c r="B508" s="23" t="s">
        <v>1537</v>
      </c>
      <c r="C508" s="23" t="s">
        <v>2552</v>
      </c>
      <c r="D508" s="23" t="s">
        <v>3655</v>
      </c>
      <c r="E508" s="23" t="s">
        <v>1518</v>
      </c>
      <c r="F508" s="23">
        <v>18</v>
      </c>
      <c r="G508" s="23">
        <v>1156.17</v>
      </c>
      <c r="H508" s="23">
        <v>20811.060000000001</v>
      </c>
    </row>
    <row r="509" spans="1:8">
      <c r="A509" s="27">
        <v>45225</v>
      </c>
      <c r="B509" s="23" t="s">
        <v>1535</v>
      </c>
      <c r="C509" s="23" t="s">
        <v>2549</v>
      </c>
      <c r="D509" s="23" t="s">
        <v>3654</v>
      </c>
      <c r="E509" s="23" t="s">
        <v>1518</v>
      </c>
      <c r="F509" s="23">
        <v>4</v>
      </c>
      <c r="G509" s="23">
        <v>4386.54</v>
      </c>
      <c r="H509" s="23">
        <v>17546.16</v>
      </c>
    </row>
    <row r="510" spans="1:8">
      <c r="A510" s="27">
        <v>45245</v>
      </c>
      <c r="B510" s="23" t="s">
        <v>1538</v>
      </c>
      <c r="C510" s="23" t="s">
        <v>2551</v>
      </c>
      <c r="D510" s="23" t="s">
        <v>3668</v>
      </c>
      <c r="E510" s="23" t="s">
        <v>1516</v>
      </c>
      <c r="F510" s="23">
        <v>6</v>
      </c>
      <c r="G510" s="23">
        <v>3175.44</v>
      </c>
      <c r="H510" s="23">
        <v>19052.64</v>
      </c>
    </row>
    <row r="511" spans="1:8">
      <c r="A511" s="27">
        <v>45044</v>
      </c>
      <c r="B511" s="23" t="s">
        <v>1535</v>
      </c>
      <c r="C511" s="23" t="s">
        <v>2549</v>
      </c>
      <c r="D511" s="23" t="s">
        <v>3660</v>
      </c>
      <c r="E511" s="23" t="s">
        <v>3657</v>
      </c>
      <c r="F511" s="23">
        <v>12</v>
      </c>
      <c r="G511" s="23">
        <v>992.16</v>
      </c>
      <c r="H511" s="23">
        <v>11905.92</v>
      </c>
    </row>
    <row r="512" spans="1:8">
      <c r="A512" s="27">
        <v>45209</v>
      </c>
      <c r="B512" s="23" t="s">
        <v>1535</v>
      </c>
      <c r="C512" s="23" t="s">
        <v>2549</v>
      </c>
      <c r="D512" s="23" t="s">
        <v>3660</v>
      </c>
      <c r="E512" s="23" t="s">
        <v>1516</v>
      </c>
      <c r="F512" s="23">
        <v>15</v>
      </c>
      <c r="G512" s="23">
        <v>2148.0100000000002</v>
      </c>
      <c r="H512" s="23">
        <v>32220.15</v>
      </c>
    </row>
    <row r="513" spans="1:8">
      <c r="A513" s="27">
        <v>44936</v>
      </c>
      <c r="B513" s="23" t="s">
        <v>1537</v>
      </c>
      <c r="C513" s="23" t="s">
        <v>2550</v>
      </c>
      <c r="D513" s="23" t="s">
        <v>3658</v>
      </c>
      <c r="E513" s="23" t="s">
        <v>1514</v>
      </c>
      <c r="F513" s="23">
        <v>11</v>
      </c>
      <c r="G513" s="23">
        <v>2491.8000000000002</v>
      </c>
      <c r="H513" s="23">
        <v>27409.8</v>
      </c>
    </row>
    <row r="514" spans="1:8">
      <c r="A514" s="27">
        <v>44940</v>
      </c>
      <c r="B514" s="23" t="s">
        <v>1537</v>
      </c>
      <c r="C514" s="23" t="s">
        <v>2550</v>
      </c>
      <c r="D514" s="23" t="s">
        <v>3656</v>
      </c>
      <c r="E514" s="23" t="s">
        <v>1514</v>
      </c>
      <c r="F514" s="23">
        <v>14</v>
      </c>
      <c r="G514" s="23">
        <v>1293.27</v>
      </c>
      <c r="H514" s="23">
        <v>18105.78</v>
      </c>
    </row>
    <row r="515" spans="1:8">
      <c r="A515" s="27">
        <v>44958</v>
      </c>
      <c r="B515" s="23" t="s">
        <v>1535</v>
      </c>
      <c r="C515" s="23" t="s">
        <v>2548</v>
      </c>
      <c r="D515" s="23" t="s">
        <v>3663</v>
      </c>
      <c r="E515" s="23" t="s">
        <v>1517</v>
      </c>
      <c r="F515" s="23">
        <v>17</v>
      </c>
      <c r="G515" s="23">
        <v>1356.25</v>
      </c>
      <c r="H515" s="23">
        <v>23056.25</v>
      </c>
    </row>
    <row r="516" spans="1:8">
      <c r="A516" s="27">
        <v>44984</v>
      </c>
      <c r="B516" s="23" t="s">
        <v>1535</v>
      </c>
      <c r="C516" s="23" t="s">
        <v>2549</v>
      </c>
      <c r="D516" s="23" t="s">
        <v>3660</v>
      </c>
      <c r="E516" s="23" t="s">
        <v>1518</v>
      </c>
      <c r="F516" s="23">
        <v>2</v>
      </c>
      <c r="G516" s="23">
        <v>2875.84</v>
      </c>
      <c r="H516" s="23">
        <v>5751.68</v>
      </c>
    </row>
    <row r="517" spans="1:8">
      <c r="A517" s="27">
        <v>45054</v>
      </c>
      <c r="B517" s="23" t="s">
        <v>1535</v>
      </c>
      <c r="C517" s="23" t="s">
        <v>2548</v>
      </c>
      <c r="D517" s="23" t="s">
        <v>3663</v>
      </c>
      <c r="E517" s="23" t="s">
        <v>1514</v>
      </c>
      <c r="F517" s="23">
        <v>3</v>
      </c>
      <c r="G517" s="23">
        <v>3861.09</v>
      </c>
      <c r="H517" s="23">
        <v>11583.27</v>
      </c>
    </row>
    <row r="518" spans="1:8">
      <c r="A518" s="27">
        <v>45207</v>
      </c>
      <c r="B518" s="23" t="s">
        <v>1535</v>
      </c>
      <c r="C518" s="23" t="s">
        <v>2549</v>
      </c>
      <c r="D518" s="23" t="s">
        <v>3665</v>
      </c>
      <c r="E518" s="23" t="s">
        <v>1516</v>
      </c>
      <c r="F518" s="23">
        <v>19</v>
      </c>
      <c r="G518" s="23">
        <v>182.01</v>
      </c>
      <c r="H518" s="23">
        <v>3458.19</v>
      </c>
    </row>
    <row r="519" spans="1:8">
      <c r="A519" s="27">
        <v>44932</v>
      </c>
      <c r="B519" s="23" t="s">
        <v>1537</v>
      </c>
      <c r="C519" s="23" t="s">
        <v>2550</v>
      </c>
      <c r="D519" s="23" t="s">
        <v>3656</v>
      </c>
      <c r="E519" s="23" t="s">
        <v>1518</v>
      </c>
      <c r="F519" s="23">
        <v>2</v>
      </c>
      <c r="G519" s="23">
        <v>1582.65</v>
      </c>
      <c r="H519" s="23">
        <v>3165.3</v>
      </c>
    </row>
    <row r="520" spans="1:8">
      <c r="A520" s="27">
        <v>45282</v>
      </c>
      <c r="B520" s="23" t="s">
        <v>1538</v>
      </c>
      <c r="C520" s="23" t="s">
        <v>2551</v>
      </c>
      <c r="D520" s="23" t="s">
        <v>3659</v>
      </c>
      <c r="E520" s="23" t="s">
        <v>1516</v>
      </c>
      <c r="F520" s="23">
        <v>12</v>
      </c>
      <c r="G520" s="23">
        <v>538.91</v>
      </c>
      <c r="H520" s="23">
        <v>6466.92</v>
      </c>
    </row>
    <row r="521" spans="1:8">
      <c r="A521" s="27">
        <v>45040</v>
      </c>
      <c r="B521" s="23" t="s">
        <v>1535</v>
      </c>
      <c r="C521" s="23" t="s">
        <v>2549</v>
      </c>
      <c r="D521" s="23" t="s">
        <v>3660</v>
      </c>
      <c r="E521" s="23" t="s">
        <v>1514</v>
      </c>
      <c r="F521" s="23">
        <v>19</v>
      </c>
      <c r="G521" s="23">
        <v>4943.6899999999996</v>
      </c>
      <c r="H521" s="23">
        <v>93930.11</v>
      </c>
    </row>
    <row r="522" spans="1:8">
      <c r="A522" s="27">
        <v>45076</v>
      </c>
      <c r="B522" s="23" t="s">
        <v>1537</v>
      </c>
      <c r="C522" s="23" t="s">
        <v>2550</v>
      </c>
      <c r="D522" s="23" t="s">
        <v>3661</v>
      </c>
      <c r="E522" s="23" t="s">
        <v>1518</v>
      </c>
      <c r="F522" s="23">
        <v>1</v>
      </c>
      <c r="G522" s="23">
        <v>2664.84</v>
      </c>
      <c r="H522" s="23">
        <v>2664.84</v>
      </c>
    </row>
    <row r="523" spans="1:8">
      <c r="A523" s="27">
        <v>45074</v>
      </c>
      <c r="B523" s="23" t="s">
        <v>1535</v>
      </c>
      <c r="C523" s="23" t="s">
        <v>2548</v>
      </c>
      <c r="D523" s="23" t="s">
        <v>3663</v>
      </c>
      <c r="E523" s="23" t="s">
        <v>3657</v>
      </c>
      <c r="F523" s="23">
        <v>5</v>
      </c>
      <c r="G523" s="23">
        <v>877.62</v>
      </c>
      <c r="H523" s="23">
        <v>4388.1000000000004</v>
      </c>
    </row>
    <row r="524" spans="1:8">
      <c r="A524" s="27">
        <v>45059</v>
      </c>
      <c r="B524" s="23" t="s">
        <v>1535</v>
      </c>
      <c r="C524" s="23" t="s">
        <v>2548</v>
      </c>
      <c r="D524" s="23" t="s">
        <v>3664</v>
      </c>
      <c r="E524" s="23" t="s">
        <v>1516</v>
      </c>
      <c r="F524" s="23">
        <v>3</v>
      </c>
      <c r="G524" s="23">
        <v>4059.76</v>
      </c>
      <c r="H524" s="23">
        <v>12179.28</v>
      </c>
    </row>
    <row r="525" spans="1:8">
      <c r="A525" s="27">
        <v>45200</v>
      </c>
      <c r="B525" s="23" t="s">
        <v>1535</v>
      </c>
      <c r="C525" s="23" t="s">
        <v>2549</v>
      </c>
      <c r="D525" s="23" t="s">
        <v>3660</v>
      </c>
      <c r="E525" s="23" t="s">
        <v>1517</v>
      </c>
      <c r="F525" s="23">
        <v>16</v>
      </c>
      <c r="G525" s="23">
        <v>3988.32</v>
      </c>
      <c r="H525" s="23">
        <v>63813.120000000003</v>
      </c>
    </row>
    <row r="526" spans="1:8">
      <c r="A526" s="27">
        <v>45241</v>
      </c>
      <c r="B526" s="23" t="s">
        <v>1535</v>
      </c>
      <c r="C526" s="23" t="s">
        <v>2548</v>
      </c>
      <c r="D526" s="23" t="s">
        <v>3666</v>
      </c>
      <c r="E526" s="23" t="s">
        <v>1517</v>
      </c>
      <c r="F526" s="23">
        <v>16</v>
      </c>
      <c r="G526" s="23">
        <v>1023.78</v>
      </c>
      <c r="H526" s="23">
        <v>16380.48</v>
      </c>
    </row>
    <row r="527" spans="1:8">
      <c r="A527" s="27">
        <v>44930</v>
      </c>
      <c r="B527" s="23" t="s">
        <v>1535</v>
      </c>
      <c r="C527" s="23" t="s">
        <v>2548</v>
      </c>
      <c r="D527" s="23" t="s">
        <v>3666</v>
      </c>
      <c r="E527" s="23" t="s">
        <v>1514</v>
      </c>
      <c r="F527" s="23">
        <v>4</v>
      </c>
      <c r="G527" s="23">
        <v>1027.32</v>
      </c>
      <c r="H527" s="23">
        <v>4109.28</v>
      </c>
    </row>
    <row r="528" spans="1:8">
      <c r="A528" s="27">
        <v>45194</v>
      </c>
      <c r="B528" s="23" t="s">
        <v>1535</v>
      </c>
      <c r="C528" s="23" t="s">
        <v>2549</v>
      </c>
      <c r="D528" s="23" t="s">
        <v>3660</v>
      </c>
      <c r="E528" s="23" t="s">
        <v>1516</v>
      </c>
      <c r="F528" s="23">
        <v>7</v>
      </c>
      <c r="G528" s="23">
        <v>392.9</v>
      </c>
      <c r="H528" s="23">
        <v>2750.3</v>
      </c>
    </row>
    <row r="529" spans="1:8">
      <c r="A529" s="27">
        <v>45040</v>
      </c>
      <c r="B529" s="23" t="s">
        <v>1537</v>
      </c>
      <c r="C529" s="23" t="s">
        <v>2552</v>
      </c>
      <c r="D529" s="23" t="s">
        <v>3655</v>
      </c>
      <c r="E529" s="23" t="s">
        <v>1516</v>
      </c>
      <c r="F529" s="23">
        <v>7</v>
      </c>
      <c r="G529" s="23">
        <v>1590.73</v>
      </c>
      <c r="H529" s="23">
        <v>11135.11</v>
      </c>
    </row>
    <row r="530" spans="1:8">
      <c r="A530" s="27">
        <v>45257</v>
      </c>
      <c r="B530" s="23" t="s">
        <v>1537</v>
      </c>
      <c r="C530" s="23" t="s">
        <v>2552</v>
      </c>
      <c r="D530" s="23" t="s">
        <v>3655</v>
      </c>
      <c r="E530" s="23" t="s">
        <v>1516</v>
      </c>
      <c r="F530" s="23">
        <v>8</v>
      </c>
      <c r="G530" s="23">
        <v>3120.6</v>
      </c>
      <c r="H530" s="23">
        <v>24964.799999999999</v>
      </c>
    </row>
    <row r="531" spans="1:8">
      <c r="A531" s="27">
        <v>45257</v>
      </c>
      <c r="B531" s="23" t="s">
        <v>1537</v>
      </c>
      <c r="C531" s="23" t="s">
        <v>2552</v>
      </c>
      <c r="D531" s="23" t="s">
        <v>3655</v>
      </c>
      <c r="E531" s="23" t="s">
        <v>1518</v>
      </c>
      <c r="F531" s="23">
        <v>7</v>
      </c>
      <c r="G531" s="23">
        <v>633.15</v>
      </c>
      <c r="H531" s="23">
        <v>4432.05</v>
      </c>
    </row>
    <row r="532" spans="1:8">
      <c r="A532" s="27">
        <v>45226</v>
      </c>
      <c r="B532" s="23" t="s">
        <v>1537</v>
      </c>
      <c r="C532" s="23" t="s">
        <v>2550</v>
      </c>
      <c r="D532" s="23" t="s">
        <v>3661</v>
      </c>
      <c r="E532" s="23" t="s">
        <v>1516</v>
      </c>
      <c r="F532" s="23">
        <v>1</v>
      </c>
      <c r="G532" s="23">
        <v>4443.22</v>
      </c>
      <c r="H532" s="23">
        <v>4443.22</v>
      </c>
    </row>
    <row r="533" spans="1:8">
      <c r="A533" s="27">
        <v>45058</v>
      </c>
      <c r="B533" s="23" t="s">
        <v>1538</v>
      </c>
      <c r="C533" s="23" t="s">
        <v>2551</v>
      </c>
      <c r="D533" s="23" t="s">
        <v>3668</v>
      </c>
      <c r="E533" s="23" t="s">
        <v>1516</v>
      </c>
      <c r="F533" s="23">
        <v>16</v>
      </c>
      <c r="G533" s="23">
        <v>199.87</v>
      </c>
      <c r="H533" s="23">
        <v>3197.92</v>
      </c>
    </row>
    <row r="534" spans="1:8">
      <c r="A534" s="27">
        <v>45022</v>
      </c>
      <c r="B534" s="23" t="s">
        <v>1535</v>
      </c>
      <c r="C534" s="23" t="s">
        <v>2548</v>
      </c>
      <c r="D534" s="23" t="s">
        <v>3666</v>
      </c>
      <c r="E534" s="23" t="s">
        <v>3657</v>
      </c>
      <c r="F534" s="23">
        <v>3</v>
      </c>
      <c r="G534" s="23">
        <v>1129.83</v>
      </c>
      <c r="H534" s="23">
        <v>3389.49</v>
      </c>
    </row>
    <row r="535" spans="1:8">
      <c r="A535" s="27">
        <v>45055</v>
      </c>
      <c r="B535" s="23" t="s">
        <v>1537</v>
      </c>
      <c r="C535" s="23" t="s">
        <v>2552</v>
      </c>
      <c r="D535" s="23" t="s">
        <v>3667</v>
      </c>
      <c r="E535" s="23" t="s">
        <v>1516</v>
      </c>
      <c r="F535" s="23">
        <v>16</v>
      </c>
      <c r="G535" s="23">
        <v>502.59</v>
      </c>
      <c r="H535" s="23">
        <v>8041.44</v>
      </c>
    </row>
    <row r="536" spans="1:8">
      <c r="A536" s="27">
        <v>45158</v>
      </c>
      <c r="B536" s="23" t="s">
        <v>1535</v>
      </c>
      <c r="C536" s="23" t="s">
        <v>2548</v>
      </c>
      <c r="D536" s="23" t="s">
        <v>3666</v>
      </c>
      <c r="E536" s="23" t="s">
        <v>3657</v>
      </c>
      <c r="F536" s="23">
        <v>17</v>
      </c>
      <c r="G536" s="23">
        <v>1217.48</v>
      </c>
      <c r="H536" s="23">
        <v>20697.16</v>
      </c>
    </row>
    <row r="537" spans="1:8">
      <c r="A537" s="27">
        <v>44932</v>
      </c>
      <c r="B537" s="23" t="s">
        <v>1538</v>
      </c>
      <c r="C537" s="23" t="s">
        <v>2551</v>
      </c>
      <c r="D537" s="23" t="s">
        <v>3669</v>
      </c>
      <c r="E537" s="23" t="s">
        <v>1518</v>
      </c>
      <c r="F537" s="23">
        <v>6</v>
      </c>
      <c r="G537" s="23">
        <v>4673.01</v>
      </c>
      <c r="H537" s="23">
        <v>28038.06</v>
      </c>
    </row>
    <row r="538" spans="1:8">
      <c r="A538" s="27">
        <v>45006</v>
      </c>
      <c r="B538" s="23" t="s">
        <v>1535</v>
      </c>
      <c r="C538" s="23" t="s">
        <v>2549</v>
      </c>
      <c r="D538" s="23" t="s">
        <v>3665</v>
      </c>
      <c r="E538" s="23" t="s">
        <v>1518</v>
      </c>
      <c r="F538" s="23">
        <v>19</v>
      </c>
      <c r="G538" s="23">
        <v>4229.42</v>
      </c>
      <c r="H538" s="23">
        <v>80358.98</v>
      </c>
    </row>
    <row r="539" spans="1:8">
      <c r="A539" s="27">
        <v>45163</v>
      </c>
      <c r="B539" s="23" t="s">
        <v>1535</v>
      </c>
      <c r="C539" s="23" t="s">
        <v>2549</v>
      </c>
      <c r="D539" s="23" t="s">
        <v>3654</v>
      </c>
      <c r="E539" s="23" t="s">
        <v>1518</v>
      </c>
      <c r="F539" s="23">
        <v>16</v>
      </c>
      <c r="G539" s="23">
        <v>3580.79</v>
      </c>
      <c r="H539" s="23">
        <v>57292.639999999999</v>
      </c>
    </row>
    <row r="540" spans="1:8">
      <c r="A540" s="27">
        <v>45037</v>
      </c>
      <c r="B540" s="23" t="s">
        <v>1538</v>
      </c>
      <c r="C540" s="23" t="s">
        <v>2551</v>
      </c>
      <c r="D540" s="23" t="s">
        <v>3669</v>
      </c>
      <c r="E540" s="23" t="s">
        <v>1516</v>
      </c>
      <c r="F540" s="23">
        <v>5</v>
      </c>
      <c r="G540" s="23">
        <v>3181.48</v>
      </c>
      <c r="H540" s="23">
        <v>15907.4</v>
      </c>
    </row>
    <row r="541" spans="1:8">
      <c r="A541" s="27">
        <v>45076</v>
      </c>
      <c r="B541" s="23" t="s">
        <v>1537</v>
      </c>
      <c r="C541" s="23" t="s">
        <v>2552</v>
      </c>
      <c r="D541" s="23" t="s">
        <v>3655</v>
      </c>
      <c r="E541" s="23" t="s">
        <v>1517</v>
      </c>
      <c r="F541" s="23">
        <v>8</v>
      </c>
      <c r="G541" s="23">
        <v>659.36</v>
      </c>
      <c r="H541" s="23">
        <v>5274.88</v>
      </c>
    </row>
    <row r="542" spans="1:8">
      <c r="A542" s="27">
        <v>45110</v>
      </c>
      <c r="B542" s="23" t="s">
        <v>1538</v>
      </c>
      <c r="C542" s="23" t="s">
        <v>2551</v>
      </c>
      <c r="D542" s="23" t="s">
        <v>3659</v>
      </c>
      <c r="E542" s="23" t="s">
        <v>1516</v>
      </c>
      <c r="F542" s="23">
        <v>17</v>
      </c>
      <c r="G542" s="23">
        <v>2045.39</v>
      </c>
      <c r="H542" s="23">
        <v>34771.629999999997</v>
      </c>
    </row>
    <row r="543" spans="1:8">
      <c r="A543" s="27">
        <v>45159</v>
      </c>
      <c r="B543" s="23" t="s">
        <v>1537</v>
      </c>
      <c r="C543" s="23" t="s">
        <v>2550</v>
      </c>
      <c r="D543" s="23" t="s">
        <v>3656</v>
      </c>
      <c r="E543" s="23" t="s">
        <v>3657</v>
      </c>
      <c r="F543" s="23">
        <v>7</v>
      </c>
      <c r="G543" s="23">
        <v>711.35</v>
      </c>
      <c r="H543" s="23">
        <v>4979.45</v>
      </c>
    </row>
    <row r="544" spans="1:8">
      <c r="A544" s="27">
        <v>44930</v>
      </c>
      <c r="B544" s="23" t="s">
        <v>1537</v>
      </c>
      <c r="C544" s="23" t="s">
        <v>2550</v>
      </c>
      <c r="D544" s="23" t="s">
        <v>3658</v>
      </c>
      <c r="E544" s="23" t="s">
        <v>1514</v>
      </c>
      <c r="F544" s="23">
        <v>13</v>
      </c>
      <c r="G544" s="23">
        <v>2913.56</v>
      </c>
      <c r="H544" s="23">
        <v>37876.28</v>
      </c>
    </row>
    <row r="545" spans="1:8">
      <c r="A545" s="27">
        <v>45016</v>
      </c>
      <c r="B545" s="23" t="s">
        <v>1537</v>
      </c>
      <c r="C545" s="23" t="s">
        <v>2550</v>
      </c>
      <c r="D545" s="23" t="s">
        <v>3658</v>
      </c>
      <c r="E545" s="23" t="s">
        <v>1517</v>
      </c>
      <c r="F545" s="23">
        <v>4</v>
      </c>
      <c r="G545" s="23">
        <v>2701.93</v>
      </c>
      <c r="H545" s="23">
        <v>10807.72</v>
      </c>
    </row>
    <row r="546" spans="1:8">
      <c r="A546" s="27">
        <v>45201</v>
      </c>
      <c r="B546" s="23" t="s">
        <v>1538</v>
      </c>
      <c r="C546" s="23" t="s">
        <v>2551</v>
      </c>
      <c r="D546" s="23" t="s">
        <v>3669</v>
      </c>
      <c r="E546" s="23" t="s">
        <v>1518</v>
      </c>
      <c r="F546" s="23">
        <v>11</v>
      </c>
      <c r="G546" s="23">
        <v>124.03</v>
      </c>
      <c r="H546" s="23">
        <v>1364.33</v>
      </c>
    </row>
    <row r="547" spans="1:8">
      <c r="A547" s="27">
        <v>45113</v>
      </c>
      <c r="B547" s="23" t="s">
        <v>1535</v>
      </c>
      <c r="C547" s="23" t="s">
        <v>2549</v>
      </c>
      <c r="D547" s="23" t="s">
        <v>3660</v>
      </c>
      <c r="E547" s="23" t="s">
        <v>1514</v>
      </c>
      <c r="F547" s="23">
        <v>15</v>
      </c>
      <c r="G547" s="23">
        <v>2551.6</v>
      </c>
      <c r="H547" s="23">
        <v>38274</v>
      </c>
    </row>
    <row r="548" spans="1:8">
      <c r="A548" s="27">
        <v>44949</v>
      </c>
      <c r="B548" s="23" t="s">
        <v>1535</v>
      </c>
      <c r="C548" s="23" t="s">
        <v>2549</v>
      </c>
      <c r="D548" s="23" t="s">
        <v>3654</v>
      </c>
      <c r="E548" s="23" t="s">
        <v>1517</v>
      </c>
      <c r="F548" s="23">
        <v>8</v>
      </c>
      <c r="G548" s="23">
        <v>1412.48</v>
      </c>
      <c r="H548" s="23">
        <v>11299.84</v>
      </c>
    </row>
    <row r="549" spans="1:8">
      <c r="A549" s="27">
        <v>45056</v>
      </c>
      <c r="B549" s="23" t="s">
        <v>1535</v>
      </c>
      <c r="C549" s="23" t="s">
        <v>2549</v>
      </c>
      <c r="D549" s="23" t="s">
        <v>3654</v>
      </c>
      <c r="E549" s="23" t="s">
        <v>1516</v>
      </c>
      <c r="F549" s="23">
        <v>18</v>
      </c>
      <c r="G549" s="23">
        <v>2074.52</v>
      </c>
      <c r="H549" s="23">
        <v>37341.360000000001</v>
      </c>
    </row>
    <row r="550" spans="1:8">
      <c r="A550" s="27">
        <v>44985</v>
      </c>
      <c r="B550" s="23" t="s">
        <v>1537</v>
      </c>
      <c r="C550" s="23" t="s">
        <v>2550</v>
      </c>
      <c r="D550" s="23" t="s">
        <v>3661</v>
      </c>
      <c r="E550" s="23" t="s">
        <v>1518</v>
      </c>
      <c r="F550" s="23">
        <v>14</v>
      </c>
      <c r="G550" s="23">
        <v>4009.33</v>
      </c>
      <c r="H550" s="23">
        <v>56130.62</v>
      </c>
    </row>
    <row r="551" spans="1:8">
      <c r="A551" s="27">
        <v>45206</v>
      </c>
      <c r="B551" s="23" t="s">
        <v>1535</v>
      </c>
      <c r="C551" s="23" t="s">
        <v>2548</v>
      </c>
      <c r="D551" s="23" t="s">
        <v>3663</v>
      </c>
      <c r="E551" s="23" t="s">
        <v>1516</v>
      </c>
      <c r="F551" s="23">
        <v>2</v>
      </c>
      <c r="G551" s="23">
        <v>4664.91</v>
      </c>
      <c r="H551" s="23">
        <v>9329.82</v>
      </c>
    </row>
    <row r="552" spans="1:8">
      <c r="A552" s="27">
        <v>44992</v>
      </c>
      <c r="B552" s="23" t="s">
        <v>1535</v>
      </c>
      <c r="C552" s="23" t="s">
        <v>2549</v>
      </c>
      <c r="D552" s="23" t="s">
        <v>3665</v>
      </c>
      <c r="E552" s="23" t="s">
        <v>1516</v>
      </c>
      <c r="F552" s="23">
        <v>17</v>
      </c>
      <c r="G552" s="23">
        <v>1759.91</v>
      </c>
      <c r="H552" s="23">
        <v>29918.47</v>
      </c>
    </row>
    <row r="553" spans="1:8">
      <c r="A553" s="27">
        <v>45044</v>
      </c>
      <c r="B553" s="23" t="s">
        <v>1537</v>
      </c>
      <c r="C553" s="23" t="s">
        <v>2552</v>
      </c>
      <c r="D553" s="23" t="s">
        <v>3655</v>
      </c>
      <c r="E553" s="23" t="s">
        <v>3657</v>
      </c>
      <c r="F553" s="23">
        <v>9</v>
      </c>
      <c r="G553" s="23">
        <v>4485.21</v>
      </c>
      <c r="H553" s="23">
        <v>40366.89</v>
      </c>
    </row>
    <row r="554" spans="1:8">
      <c r="A554" s="27">
        <v>45164</v>
      </c>
      <c r="B554" s="23" t="s">
        <v>1535</v>
      </c>
      <c r="C554" s="23" t="s">
        <v>2549</v>
      </c>
      <c r="D554" s="23" t="s">
        <v>3654</v>
      </c>
      <c r="E554" s="23" t="s">
        <v>1514</v>
      </c>
      <c r="F554" s="23">
        <v>4</v>
      </c>
      <c r="G554" s="23">
        <v>1788.95</v>
      </c>
      <c r="H554" s="23">
        <v>7155.8</v>
      </c>
    </row>
    <row r="555" spans="1:8">
      <c r="A555" s="27">
        <v>45177</v>
      </c>
      <c r="B555" s="23" t="s">
        <v>1535</v>
      </c>
      <c r="C555" s="23" t="s">
        <v>2548</v>
      </c>
      <c r="D555" s="23" t="s">
        <v>3666</v>
      </c>
      <c r="E555" s="23" t="s">
        <v>1518</v>
      </c>
      <c r="F555" s="23">
        <v>15</v>
      </c>
      <c r="G555" s="23">
        <v>916.75</v>
      </c>
      <c r="H555" s="23">
        <v>13751.25</v>
      </c>
    </row>
    <row r="556" spans="1:8">
      <c r="A556" s="27">
        <v>45043</v>
      </c>
      <c r="B556" s="23" t="s">
        <v>1538</v>
      </c>
      <c r="C556" s="23" t="s">
        <v>2551</v>
      </c>
      <c r="D556" s="23" t="s">
        <v>3668</v>
      </c>
      <c r="E556" s="23" t="s">
        <v>1518</v>
      </c>
      <c r="F556" s="23">
        <v>13</v>
      </c>
      <c r="G556" s="23">
        <v>2327.81</v>
      </c>
      <c r="H556" s="23">
        <v>30261.53</v>
      </c>
    </row>
    <row r="557" spans="1:8">
      <c r="A557" s="27">
        <v>44968</v>
      </c>
      <c r="B557" s="23" t="s">
        <v>1535</v>
      </c>
      <c r="C557" s="23" t="s">
        <v>2549</v>
      </c>
      <c r="D557" s="23" t="s">
        <v>3654</v>
      </c>
      <c r="E557" s="23" t="s">
        <v>1514</v>
      </c>
      <c r="F557" s="23">
        <v>16</v>
      </c>
      <c r="G557" s="23">
        <v>2954.32</v>
      </c>
      <c r="H557" s="23">
        <v>47269.120000000003</v>
      </c>
    </row>
    <row r="558" spans="1:8">
      <c r="A558" s="27">
        <v>45041</v>
      </c>
      <c r="B558" s="23" t="s">
        <v>1537</v>
      </c>
      <c r="C558" s="23" t="s">
        <v>2550</v>
      </c>
      <c r="D558" s="23" t="s">
        <v>3661</v>
      </c>
      <c r="E558" s="23" t="s">
        <v>1518</v>
      </c>
      <c r="F558" s="23">
        <v>14</v>
      </c>
      <c r="G558" s="23">
        <v>4935.34</v>
      </c>
      <c r="H558" s="23">
        <v>69094.759999999995</v>
      </c>
    </row>
    <row r="559" spans="1:8">
      <c r="A559" s="27">
        <v>45063</v>
      </c>
      <c r="B559" s="23" t="s">
        <v>1537</v>
      </c>
      <c r="C559" s="23" t="s">
        <v>2552</v>
      </c>
      <c r="D559" s="23" t="s">
        <v>3667</v>
      </c>
      <c r="E559" s="23" t="s">
        <v>1518</v>
      </c>
      <c r="F559" s="23">
        <v>2</v>
      </c>
      <c r="G559" s="23">
        <v>1063.3499999999999</v>
      </c>
      <c r="H559" s="23">
        <v>2126.6999999999998</v>
      </c>
    </row>
    <row r="560" spans="1:8">
      <c r="A560" s="27">
        <v>45098</v>
      </c>
      <c r="B560" s="23" t="s">
        <v>1535</v>
      </c>
      <c r="C560" s="23" t="s">
        <v>2549</v>
      </c>
      <c r="D560" s="23" t="s">
        <v>3665</v>
      </c>
      <c r="E560" s="23" t="s">
        <v>1514</v>
      </c>
      <c r="F560" s="23">
        <v>7</v>
      </c>
      <c r="G560" s="23">
        <v>859.87</v>
      </c>
      <c r="H560" s="23">
        <v>6019.09</v>
      </c>
    </row>
    <row r="561" spans="1:8">
      <c r="A561" s="27">
        <v>45074</v>
      </c>
      <c r="B561" s="23" t="s">
        <v>1537</v>
      </c>
      <c r="C561" s="23" t="s">
        <v>2550</v>
      </c>
      <c r="D561" s="23" t="s">
        <v>3656</v>
      </c>
      <c r="E561" s="23" t="s">
        <v>3657</v>
      </c>
      <c r="F561" s="23">
        <v>10</v>
      </c>
      <c r="G561" s="23">
        <v>4413.5</v>
      </c>
      <c r="H561" s="23">
        <v>44135</v>
      </c>
    </row>
    <row r="562" spans="1:8">
      <c r="A562" s="27">
        <v>45058</v>
      </c>
      <c r="B562" s="23" t="s">
        <v>1535</v>
      </c>
      <c r="C562" s="23" t="s">
        <v>2548</v>
      </c>
      <c r="D562" s="23" t="s">
        <v>3664</v>
      </c>
      <c r="E562" s="23" t="s">
        <v>3657</v>
      </c>
      <c r="F562" s="23">
        <v>12</v>
      </c>
      <c r="G562" s="23">
        <v>2438.6799999999998</v>
      </c>
      <c r="H562" s="23">
        <v>29264.16</v>
      </c>
    </row>
    <row r="563" spans="1:8">
      <c r="A563" s="27">
        <v>45219</v>
      </c>
      <c r="B563" s="23" t="s">
        <v>1538</v>
      </c>
      <c r="C563" s="23" t="s">
        <v>2551</v>
      </c>
      <c r="D563" s="23" t="s">
        <v>3669</v>
      </c>
      <c r="E563" s="23" t="s">
        <v>1518</v>
      </c>
      <c r="F563" s="23">
        <v>5</v>
      </c>
      <c r="G563" s="23">
        <v>214.25</v>
      </c>
      <c r="H563" s="23">
        <v>1071.25</v>
      </c>
    </row>
    <row r="564" spans="1:8">
      <c r="A564" s="27">
        <v>45210</v>
      </c>
      <c r="B564" s="23" t="s">
        <v>1537</v>
      </c>
      <c r="C564" s="23" t="s">
        <v>2552</v>
      </c>
      <c r="D564" s="23" t="s">
        <v>3667</v>
      </c>
      <c r="E564" s="23" t="s">
        <v>1517</v>
      </c>
      <c r="F564" s="23">
        <v>9</v>
      </c>
      <c r="G564" s="23">
        <v>3193.9</v>
      </c>
      <c r="H564" s="23">
        <v>28745.1</v>
      </c>
    </row>
    <row r="565" spans="1:8">
      <c r="A565" s="27">
        <v>45249</v>
      </c>
      <c r="B565" s="23" t="s">
        <v>1535</v>
      </c>
      <c r="C565" s="23" t="s">
        <v>2549</v>
      </c>
      <c r="D565" s="23" t="s">
        <v>3654</v>
      </c>
      <c r="E565" s="23" t="s">
        <v>1517</v>
      </c>
      <c r="F565" s="23">
        <v>15</v>
      </c>
      <c r="G565" s="23">
        <v>4785.6099999999997</v>
      </c>
      <c r="H565" s="23">
        <v>71784.149999999994</v>
      </c>
    </row>
    <row r="566" spans="1:8">
      <c r="A566" s="27">
        <v>45117</v>
      </c>
      <c r="B566" s="23" t="s">
        <v>1538</v>
      </c>
      <c r="C566" s="23" t="s">
        <v>2551</v>
      </c>
      <c r="D566" s="23" t="s">
        <v>3659</v>
      </c>
      <c r="E566" s="23" t="s">
        <v>1514</v>
      </c>
      <c r="F566" s="23">
        <v>8</v>
      </c>
      <c r="G566" s="23">
        <v>2606.36</v>
      </c>
      <c r="H566" s="23">
        <v>20850.88</v>
      </c>
    </row>
    <row r="567" spans="1:8">
      <c r="A567" s="27">
        <v>45186</v>
      </c>
      <c r="B567" s="23" t="s">
        <v>1538</v>
      </c>
      <c r="C567" s="23" t="s">
        <v>2551</v>
      </c>
      <c r="D567" s="23" t="s">
        <v>3669</v>
      </c>
      <c r="E567" s="23" t="s">
        <v>1516</v>
      </c>
      <c r="F567" s="23">
        <v>18</v>
      </c>
      <c r="G567" s="23">
        <v>1986.52</v>
      </c>
      <c r="H567" s="23">
        <v>35757.360000000001</v>
      </c>
    </row>
    <row r="568" spans="1:8">
      <c r="A568" s="27">
        <v>44980</v>
      </c>
      <c r="B568" s="23" t="s">
        <v>1535</v>
      </c>
      <c r="C568" s="23" t="s">
        <v>2549</v>
      </c>
      <c r="D568" s="23" t="s">
        <v>3660</v>
      </c>
      <c r="E568" s="23" t="s">
        <v>1517</v>
      </c>
      <c r="F568" s="23">
        <v>4</v>
      </c>
      <c r="G568" s="23">
        <v>4245.67</v>
      </c>
      <c r="H568" s="23">
        <v>16982.68</v>
      </c>
    </row>
    <row r="569" spans="1:8">
      <c r="A569" s="27">
        <v>45106</v>
      </c>
      <c r="B569" s="23" t="s">
        <v>1535</v>
      </c>
      <c r="C569" s="23" t="s">
        <v>2548</v>
      </c>
      <c r="D569" s="23" t="s">
        <v>3663</v>
      </c>
      <c r="E569" s="23" t="s">
        <v>3657</v>
      </c>
      <c r="F569" s="23">
        <v>14</v>
      </c>
      <c r="G569" s="23">
        <v>283.7</v>
      </c>
      <c r="H569" s="23">
        <v>3971.8</v>
      </c>
    </row>
    <row r="570" spans="1:8">
      <c r="A570" s="27">
        <v>45223</v>
      </c>
      <c r="B570" s="23" t="s">
        <v>1535</v>
      </c>
      <c r="C570" s="23" t="s">
        <v>2549</v>
      </c>
      <c r="D570" s="23" t="s">
        <v>3665</v>
      </c>
      <c r="E570" s="23" t="s">
        <v>1518</v>
      </c>
      <c r="F570" s="23">
        <v>2</v>
      </c>
      <c r="G570" s="23">
        <v>3753.37</v>
      </c>
      <c r="H570" s="23">
        <v>7506.74</v>
      </c>
    </row>
    <row r="571" spans="1:8">
      <c r="A571" s="27">
        <v>45038</v>
      </c>
      <c r="B571" s="23" t="s">
        <v>1537</v>
      </c>
      <c r="C571" s="23" t="s">
        <v>2552</v>
      </c>
      <c r="D571" s="23" t="s">
        <v>3655</v>
      </c>
      <c r="E571" s="23" t="s">
        <v>1514</v>
      </c>
      <c r="F571" s="23">
        <v>5</v>
      </c>
      <c r="G571" s="23">
        <v>1566.04</v>
      </c>
      <c r="H571" s="23">
        <v>7830.2</v>
      </c>
    </row>
    <row r="572" spans="1:8">
      <c r="A572" s="27">
        <v>45129</v>
      </c>
      <c r="B572" s="23" t="s">
        <v>1538</v>
      </c>
      <c r="C572" s="23" t="s">
        <v>2551</v>
      </c>
      <c r="D572" s="23" t="s">
        <v>3669</v>
      </c>
      <c r="E572" s="23" t="s">
        <v>1517</v>
      </c>
      <c r="F572" s="23">
        <v>19</v>
      </c>
      <c r="G572" s="23">
        <v>3694.62</v>
      </c>
      <c r="H572" s="23">
        <v>70197.78</v>
      </c>
    </row>
    <row r="573" spans="1:8">
      <c r="A573" s="27">
        <v>45195</v>
      </c>
      <c r="B573" s="23" t="s">
        <v>1537</v>
      </c>
      <c r="C573" s="23" t="s">
        <v>2552</v>
      </c>
      <c r="D573" s="23" t="s">
        <v>3662</v>
      </c>
      <c r="E573" s="23" t="s">
        <v>1517</v>
      </c>
      <c r="F573" s="23">
        <v>15</v>
      </c>
      <c r="G573" s="23">
        <v>413.63</v>
      </c>
      <c r="H573" s="23">
        <v>6204.45</v>
      </c>
    </row>
    <row r="574" spans="1:8">
      <c r="A574" s="27">
        <v>45283</v>
      </c>
      <c r="B574" s="23" t="s">
        <v>1535</v>
      </c>
      <c r="C574" s="23" t="s">
        <v>2549</v>
      </c>
      <c r="D574" s="23" t="s">
        <v>3660</v>
      </c>
      <c r="E574" s="23" t="s">
        <v>1516</v>
      </c>
      <c r="F574" s="23">
        <v>10</v>
      </c>
      <c r="G574" s="23">
        <v>3907.49</v>
      </c>
      <c r="H574" s="23">
        <v>39074.9</v>
      </c>
    </row>
    <row r="575" spans="1:8">
      <c r="A575" s="27">
        <v>44992</v>
      </c>
      <c r="B575" s="23" t="s">
        <v>1535</v>
      </c>
      <c r="C575" s="23" t="s">
        <v>2549</v>
      </c>
      <c r="D575" s="23" t="s">
        <v>3654</v>
      </c>
      <c r="E575" s="23" t="s">
        <v>1517</v>
      </c>
      <c r="F575" s="23">
        <v>14</v>
      </c>
      <c r="G575" s="23">
        <v>3259.64</v>
      </c>
      <c r="H575" s="23">
        <v>45634.96</v>
      </c>
    </row>
    <row r="576" spans="1:8">
      <c r="A576" s="27">
        <v>45200</v>
      </c>
      <c r="B576" s="23" t="s">
        <v>1537</v>
      </c>
      <c r="C576" s="23" t="s">
        <v>2550</v>
      </c>
      <c r="D576" s="23" t="s">
        <v>3656</v>
      </c>
      <c r="E576" s="23" t="s">
        <v>1518</v>
      </c>
      <c r="F576" s="23">
        <v>4</v>
      </c>
      <c r="G576" s="23">
        <v>637.89</v>
      </c>
      <c r="H576" s="23">
        <v>2551.56</v>
      </c>
    </row>
    <row r="577" spans="1:8">
      <c r="A577" s="27">
        <v>45282</v>
      </c>
      <c r="B577" s="23" t="s">
        <v>1537</v>
      </c>
      <c r="C577" s="23" t="s">
        <v>2550</v>
      </c>
      <c r="D577" s="23" t="s">
        <v>3656</v>
      </c>
      <c r="E577" s="23" t="s">
        <v>1516</v>
      </c>
      <c r="F577" s="23">
        <v>20</v>
      </c>
      <c r="G577" s="23">
        <v>2123.15</v>
      </c>
      <c r="H577" s="23">
        <v>42463</v>
      </c>
    </row>
    <row r="578" spans="1:8">
      <c r="A578" s="27">
        <v>44942</v>
      </c>
      <c r="B578" s="23" t="s">
        <v>1537</v>
      </c>
      <c r="C578" s="23" t="s">
        <v>2550</v>
      </c>
      <c r="D578" s="23" t="s">
        <v>3658</v>
      </c>
      <c r="E578" s="23" t="s">
        <v>1517</v>
      </c>
      <c r="F578" s="23">
        <v>19</v>
      </c>
      <c r="G578" s="23">
        <v>4771.5</v>
      </c>
      <c r="H578" s="23">
        <v>90658.5</v>
      </c>
    </row>
    <row r="579" spans="1:8">
      <c r="A579" s="27">
        <v>45250</v>
      </c>
      <c r="B579" s="23" t="s">
        <v>1537</v>
      </c>
      <c r="C579" s="23" t="s">
        <v>2552</v>
      </c>
      <c r="D579" s="23" t="s">
        <v>3662</v>
      </c>
      <c r="E579" s="23" t="s">
        <v>1518</v>
      </c>
      <c r="F579" s="23">
        <v>12</v>
      </c>
      <c r="G579" s="23">
        <v>3703.31</v>
      </c>
      <c r="H579" s="23">
        <v>44439.72</v>
      </c>
    </row>
    <row r="580" spans="1:8">
      <c r="A580" s="27">
        <v>44938</v>
      </c>
      <c r="B580" s="23" t="s">
        <v>1535</v>
      </c>
      <c r="C580" s="23" t="s">
        <v>2548</v>
      </c>
      <c r="D580" s="23" t="s">
        <v>3664</v>
      </c>
      <c r="E580" s="23" t="s">
        <v>1518</v>
      </c>
      <c r="F580" s="23">
        <v>5</v>
      </c>
      <c r="G580" s="23">
        <v>3631.01</v>
      </c>
      <c r="H580" s="23">
        <v>18155.05</v>
      </c>
    </row>
    <row r="581" spans="1:8">
      <c r="A581" s="27">
        <v>45097</v>
      </c>
      <c r="B581" s="23" t="s">
        <v>1538</v>
      </c>
      <c r="C581" s="23" t="s">
        <v>2551</v>
      </c>
      <c r="D581" s="23" t="s">
        <v>3659</v>
      </c>
      <c r="E581" s="23" t="s">
        <v>1517</v>
      </c>
      <c r="F581" s="23">
        <v>20</v>
      </c>
      <c r="G581" s="23">
        <v>4035.61</v>
      </c>
      <c r="H581" s="23">
        <v>80712.2</v>
      </c>
    </row>
    <row r="582" spans="1:8">
      <c r="A582" s="27">
        <v>44955</v>
      </c>
      <c r="B582" s="23" t="s">
        <v>1535</v>
      </c>
      <c r="C582" s="23" t="s">
        <v>2549</v>
      </c>
      <c r="D582" s="23" t="s">
        <v>3660</v>
      </c>
      <c r="E582" s="23" t="s">
        <v>1517</v>
      </c>
      <c r="F582" s="23">
        <v>2</v>
      </c>
      <c r="G582" s="23">
        <v>3297.48</v>
      </c>
      <c r="H582" s="23">
        <v>6594.96</v>
      </c>
    </row>
    <row r="583" spans="1:8">
      <c r="A583" s="27">
        <v>44934</v>
      </c>
      <c r="B583" s="23" t="s">
        <v>1538</v>
      </c>
      <c r="C583" s="23" t="s">
        <v>2551</v>
      </c>
      <c r="D583" s="23" t="s">
        <v>3659</v>
      </c>
      <c r="E583" s="23" t="s">
        <v>1518</v>
      </c>
      <c r="F583" s="23">
        <v>9</v>
      </c>
      <c r="G583" s="23">
        <v>455.98</v>
      </c>
      <c r="H583" s="23">
        <v>4103.82</v>
      </c>
    </row>
    <row r="584" spans="1:8">
      <c r="A584" s="27">
        <v>44993</v>
      </c>
      <c r="B584" s="23" t="s">
        <v>1538</v>
      </c>
      <c r="C584" s="23" t="s">
        <v>2551</v>
      </c>
      <c r="D584" s="23" t="s">
        <v>3659</v>
      </c>
      <c r="E584" s="23" t="s">
        <v>1518</v>
      </c>
      <c r="F584" s="23">
        <v>19</v>
      </c>
      <c r="G584" s="23">
        <v>1414.78</v>
      </c>
      <c r="H584" s="23">
        <v>26880.82</v>
      </c>
    </row>
    <row r="585" spans="1:8">
      <c r="A585" s="27">
        <v>45105</v>
      </c>
      <c r="B585" s="23" t="s">
        <v>1537</v>
      </c>
      <c r="C585" s="23" t="s">
        <v>2550</v>
      </c>
      <c r="D585" s="23" t="s">
        <v>3661</v>
      </c>
      <c r="E585" s="23" t="s">
        <v>3657</v>
      </c>
      <c r="F585" s="23">
        <v>7</v>
      </c>
      <c r="G585" s="23">
        <v>705.03</v>
      </c>
      <c r="H585" s="23">
        <v>4935.21</v>
      </c>
    </row>
    <row r="586" spans="1:8">
      <c r="A586" s="27">
        <v>45278</v>
      </c>
      <c r="B586" s="23" t="s">
        <v>1535</v>
      </c>
      <c r="C586" s="23" t="s">
        <v>2549</v>
      </c>
      <c r="D586" s="23" t="s">
        <v>3654</v>
      </c>
      <c r="E586" s="23" t="s">
        <v>1517</v>
      </c>
      <c r="F586" s="23">
        <v>2</v>
      </c>
      <c r="G586" s="23">
        <v>1377.64</v>
      </c>
      <c r="H586" s="23">
        <v>2755.28</v>
      </c>
    </row>
    <row r="587" spans="1:8">
      <c r="A587" s="27">
        <v>45071</v>
      </c>
      <c r="B587" s="23" t="s">
        <v>1538</v>
      </c>
      <c r="C587" s="23" t="s">
        <v>2551</v>
      </c>
      <c r="D587" s="23" t="s">
        <v>3668</v>
      </c>
      <c r="E587" s="23" t="s">
        <v>3657</v>
      </c>
      <c r="F587" s="23">
        <v>20</v>
      </c>
      <c r="G587" s="23">
        <v>2344.7600000000002</v>
      </c>
      <c r="H587" s="23">
        <v>46895.199999999997</v>
      </c>
    </row>
    <row r="588" spans="1:8">
      <c r="A588" s="27">
        <v>44956</v>
      </c>
      <c r="B588" s="23" t="s">
        <v>1535</v>
      </c>
      <c r="C588" s="23" t="s">
        <v>2548</v>
      </c>
      <c r="D588" s="23" t="s">
        <v>3663</v>
      </c>
      <c r="E588" s="23" t="s">
        <v>1518</v>
      </c>
      <c r="F588" s="23">
        <v>19</v>
      </c>
      <c r="G588" s="23">
        <v>4920.4399999999996</v>
      </c>
      <c r="H588" s="23">
        <v>93488.36</v>
      </c>
    </row>
    <row r="589" spans="1:8">
      <c r="A589" s="27">
        <v>45252</v>
      </c>
      <c r="B589" s="23" t="s">
        <v>1535</v>
      </c>
      <c r="C589" s="23" t="s">
        <v>2548</v>
      </c>
      <c r="D589" s="23" t="s">
        <v>3664</v>
      </c>
      <c r="E589" s="23" t="s">
        <v>3657</v>
      </c>
      <c r="F589" s="23">
        <v>9</v>
      </c>
      <c r="G589" s="23">
        <v>3209.83</v>
      </c>
      <c r="H589" s="23">
        <v>28888.47</v>
      </c>
    </row>
    <row r="590" spans="1:8">
      <c r="A590" s="27">
        <v>44992</v>
      </c>
      <c r="B590" s="23" t="s">
        <v>1535</v>
      </c>
      <c r="C590" s="23" t="s">
        <v>2548</v>
      </c>
      <c r="D590" s="23" t="s">
        <v>3663</v>
      </c>
      <c r="E590" s="23" t="s">
        <v>3657</v>
      </c>
      <c r="F590" s="23">
        <v>20</v>
      </c>
      <c r="G590" s="23">
        <v>1916.52</v>
      </c>
      <c r="H590" s="23">
        <v>38330.400000000001</v>
      </c>
    </row>
    <row r="591" spans="1:8">
      <c r="A591" s="27">
        <v>45148</v>
      </c>
      <c r="B591" s="23" t="s">
        <v>1537</v>
      </c>
      <c r="C591" s="23" t="s">
        <v>2550</v>
      </c>
      <c r="D591" s="23" t="s">
        <v>3658</v>
      </c>
      <c r="E591" s="23" t="s">
        <v>3657</v>
      </c>
      <c r="F591" s="23">
        <v>4</v>
      </c>
      <c r="G591" s="23">
        <v>2740.14</v>
      </c>
      <c r="H591" s="23">
        <v>10960.56</v>
      </c>
    </row>
    <row r="592" spans="1:8">
      <c r="A592" s="27">
        <v>45020</v>
      </c>
      <c r="B592" s="23" t="s">
        <v>1538</v>
      </c>
      <c r="C592" s="23" t="s">
        <v>2551</v>
      </c>
      <c r="D592" s="23" t="s">
        <v>3659</v>
      </c>
      <c r="E592" s="23" t="s">
        <v>1516</v>
      </c>
      <c r="F592" s="23">
        <v>14</v>
      </c>
      <c r="G592" s="23">
        <v>1116.79</v>
      </c>
      <c r="H592" s="23">
        <v>15635.06</v>
      </c>
    </row>
    <row r="593" spans="1:8">
      <c r="A593" s="27">
        <v>44964</v>
      </c>
      <c r="B593" s="23" t="s">
        <v>1535</v>
      </c>
      <c r="C593" s="23" t="s">
        <v>2549</v>
      </c>
      <c r="D593" s="23" t="s">
        <v>3660</v>
      </c>
      <c r="E593" s="23" t="s">
        <v>1516</v>
      </c>
      <c r="F593" s="23">
        <v>11</v>
      </c>
      <c r="G593" s="23">
        <v>335.31</v>
      </c>
      <c r="H593" s="23">
        <v>3688.41</v>
      </c>
    </row>
    <row r="594" spans="1:8">
      <c r="A594" s="27">
        <v>44977</v>
      </c>
      <c r="B594" s="23" t="s">
        <v>1535</v>
      </c>
      <c r="C594" s="23" t="s">
        <v>2549</v>
      </c>
      <c r="D594" s="23" t="s">
        <v>3660</v>
      </c>
      <c r="E594" s="23" t="s">
        <v>1518</v>
      </c>
      <c r="F594" s="23">
        <v>9</v>
      </c>
      <c r="G594" s="23">
        <v>1474.56</v>
      </c>
      <c r="H594" s="23">
        <v>13271.04</v>
      </c>
    </row>
    <row r="595" spans="1:8">
      <c r="A595" s="27">
        <v>45010</v>
      </c>
      <c r="B595" s="23" t="s">
        <v>1537</v>
      </c>
      <c r="C595" s="23" t="s">
        <v>2550</v>
      </c>
      <c r="D595" s="23" t="s">
        <v>3658</v>
      </c>
      <c r="E595" s="23" t="s">
        <v>3657</v>
      </c>
      <c r="F595" s="23">
        <v>5</v>
      </c>
      <c r="G595" s="23">
        <v>695.3</v>
      </c>
      <c r="H595" s="23">
        <v>3476.5</v>
      </c>
    </row>
    <row r="596" spans="1:8">
      <c r="A596" s="27">
        <v>45056</v>
      </c>
      <c r="B596" s="23" t="s">
        <v>1537</v>
      </c>
      <c r="C596" s="23" t="s">
        <v>2552</v>
      </c>
      <c r="D596" s="23" t="s">
        <v>3667</v>
      </c>
      <c r="E596" s="23" t="s">
        <v>1516</v>
      </c>
      <c r="F596" s="23">
        <v>15</v>
      </c>
      <c r="G596" s="23">
        <v>3611.2</v>
      </c>
      <c r="H596" s="23">
        <v>54168</v>
      </c>
    </row>
    <row r="597" spans="1:8">
      <c r="A597" s="27">
        <v>45031</v>
      </c>
      <c r="B597" s="23" t="s">
        <v>1537</v>
      </c>
      <c r="C597" s="23" t="s">
        <v>2550</v>
      </c>
      <c r="D597" s="23" t="s">
        <v>3661</v>
      </c>
      <c r="E597" s="23" t="s">
        <v>1517</v>
      </c>
      <c r="F597" s="23">
        <v>8</v>
      </c>
      <c r="G597" s="23">
        <v>592.82000000000005</v>
      </c>
      <c r="H597" s="23">
        <v>4742.5600000000004</v>
      </c>
    </row>
    <row r="598" spans="1:8">
      <c r="A598" s="27">
        <v>45001</v>
      </c>
      <c r="B598" s="23" t="s">
        <v>1535</v>
      </c>
      <c r="C598" s="23" t="s">
        <v>2549</v>
      </c>
      <c r="D598" s="23" t="s">
        <v>3654</v>
      </c>
      <c r="E598" s="23" t="s">
        <v>1514</v>
      </c>
      <c r="F598" s="23">
        <v>1</v>
      </c>
      <c r="G598" s="23">
        <v>568.54999999999995</v>
      </c>
      <c r="H598" s="23">
        <v>568.54999999999995</v>
      </c>
    </row>
    <row r="599" spans="1:8">
      <c r="A599" s="27">
        <v>44985</v>
      </c>
      <c r="B599" s="23" t="s">
        <v>1537</v>
      </c>
      <c r="C599" s="23" t="s">
        <v>2550</v>
      </c>
      <c r="D599" s="23" t="s">
        <v>3661</v>
      </c>
      <c r="E599" s="23" t="s">
        <v>1517</v>
      </c>
      <c r="F599" s="23">
        <v>5</v>
      </c>
      <c r="G599" s="23">
        <v>1319.46</v>
      </c>
      <c r="H599" s="23">
        <v>6597.3</v>
      </c>
    </row>
    <row r="600" spans="1:8">
      <c r="A600" s="27">
        <v>45127</v>
      </c>
      <c r="B600" s="23" t="s">
        <v>1537</v>
      </c>
      <c r="C600" s="23" t="s">
        <v>2550</v>
      </c>
      <c r="D600" s="23" t="s">
        <v>3661</v>
      </c>
      <c r="E600" s="23" t="s">
        <v>1514</v>
      </c>
      <c r="F600" s="23">
        <v>7</v>
      </c>
      <c r="G600" s="23">
        <v>222.61</v>
      </c>
      <c r="H600" s="23">
        <v>1558.27</v>
      </c>
    </row>
    <row r="601" spans="1:8">
      <c r="A601" s="27">
        <v>45101</v>
      </c>
      <c r="B601" s="23" t="s">
        <v>1535</v>
      </c>
      <c r="C601" s="23" t="s">
        <v>2548</v>
      </c>
      <c r="D601" s="23" t="s">
        <v>3666</v>
      </c>
      <c r="E601" s="23" t="s">
        <v>1517</v>
      </c>
      <c r="F601" s="23">
        <v>1</v>
      </c>
      <c r="G601" s="23">
        <v>4117.97</v>
      </c>
      <c r="H601" s="23">
        <v>4117.97</v>
      </c>
    </row>
    <row r="602" spans="1:8">
      <c r="A602" s="27">
        <v>45106</v>
      </c>
      <c r="B602" s="23" t="s">
        <v>1538</v>
      </c>
      <c r="C602" s="23" t="s">
        <v>2551</v>
      </c>
      <c r="D602" s="23" t="s">
        <v>3669</v>
      </c>
      <c r="E602" s="23" t="s">
        <v>1516</v>
      </c>
      <c r="F602" s="23">
        <v>1</v>
      </c>
      <c r="G602" s="23">
        <v>1793.18</v>
      </c>
      <c r="H602" s="23">
        <v>1793.18</v>
      </c>
    </row>
    <row r="603" spans="1:8">
      <c r="A603" s="27">
        <v>44977</v>
      </c>
      <c r="B603" s="23" t="s">
        <v>1535</v>
      </c>
      <c r="C603" s="23" t="s">
        <v>2549</v>
      </c>
      <c r="D603" s="23" t="s">
        <v>3660</v>
      </c>
      <c r="E603" s="23" t="s">
        <v>1516</v>
      </c>
      <c r="F603" s="23">
        <v>7</v>
      </c>
      <c r="G603" s="23">
        <v>4046.34</v>
      </c>
      <c r="H603" s="23">
        <v>28324.38</v>
      </c>
    </row>
    <row r="604" spans="1:8">
      <c r="A604" s="27">
        <v>45089</v>
      </c>
      <c r="B604" s="23" t="s">
        <v>1537</v>
      </c>
      <c r="C604" s="23" t="s">
        <v>2550</v>
      </c>
      <c r="D604" s="23" t="s">
        <v>3656</v>
      </c>
      <c r="E604" s="23" t="s">
        <v>1516</v>
      </c>
      <c r="F604" s="23">
        <v>18</v>
      </c>
      <c r="G604" s="23">
        <v>4403.6899999999996</v>
      </c>
      <c r="H604" s="23">
        <v>79266.42</v>
      </c>
    </row>
    <row r="605" spans="1:8">
      <c r="A605" s="27">
        <v>45108</v>
      </c>
      <c r="B605" s="23" t="s">
        <v>1538</v>
      </c>
      <c r="C605" s="23" t="s">
        <v>2551</v>
      </c>
      <c r="D605" s="23" t="s">
        <v>3668</v>
      </c>
      <c r="E605" s="23" t="s">
        <v>1517</v>
      </c>
      <c r="F605" s="23">
        <v>16</v>
      </c>
      <c r="G605" s="23">
        <v>338.38</v>
      </c>
      <c r="H605" s="23">
        <v>5414.08</v>
      </c>
    </row>
    <row r="606" spans="1:8">
      <c r="A606" s="27">
        <v>44929</v>
      </c>
      <c r="B606" s="23" t="s">
        <v>1535</v>
      </c>
      <c r="C606" s="23" t="s">
        <v>2548</v>
      </c>
      <c r="D606" s="23" t="s">
        <v>3664</v>
      </c>
      <c r="E606" s="23" t="s">
        <v>1516</v>
      </c>
      <c r="F606" s="23">
        <v>12</v>
      </c>
      <c r="G606" s="23">
        <v>2232.4899999999998</v>
      </c>
      <c r="H606" s="23">
        <v>26789.88</v>
      </c>
    </row>
    <row r="607" spans="1:8">
      <c r="A607" s="27">
        <v>44946</v>
      </c>
      <c r="B607" s="23" t="s">
        <v>1537</v>
      </c>
      <c r="C607" s="23" t="s">
        <v>2550</v>
      </c>
      <c r="D607" s="23" t="s">
        <v>3658</v>
      </c>
      <c r="E607" s="23" t="s">
        <v>1518</v>
      </c>
      <c r="F607" s="23">
        <v>20</v>
      </c>
      <c r="G607" s="23">
        <v>3280.87</v>
      </c>
      <c r="H607" s="23">
        <v>65617.399999999994</v>
      </c>
    </row>
    <row r="608" spans="1:8">
      <c r="A608" s="27">
        <v>44950</v>
      </c>
      <c r="B608" s="23" t="s">
        <v>1535</v>
      </c>
      <c r="C608" s="23" t="s">
        <v>2548</v>
      </c>
      <c r="D608" s="23" t="s">
        <v>3663</v>
      </c>
      <c r="E608" s="23" t="s">
        <v>3657</v>
      </c>
      <c r="F608" s="23">
        <v>6</v>
      </c>
      <c r="G608" s="23">
        <v>744.85</v>
      </c>
      <c r="H608" s="23">
        <v>4469.1000000000004</v>
      </c>
    </row>
    <row r="609" spans="1:8">
      <c r="A609" s="27">
        <v>45284</v>
      </c>
      <c r="B609" s="23" t="s">
        <v>1538</v>
      </c>
      <c r="C609" s="23" t="s">
        <v>2551</v>
      </c>
      <c r="D609" s="23" t="s">
        <v>3668</v>
      </c>
      <c r="E609" s="23" t="s">
        <v>1518</v>
      </c>
      <c r="F609" s="23">
        <v>18</v>
      </c>
      <c r="G609" s="23">
        <v>2880.41</v>
      </c>
      <c r="H609" s="23">
        <v>51847.38</v>
      </c>
    </row>
    <row r="610" spans="1:8">
      <c r="A610" s="27">
        <v>45113</v>
      </c>
      <c r="B610" s="23" t="s">
        <v>1535</v>
      </c>
      <c r="C610" s="23" t="s">
        <v>2548</v>
      </c>
      <c r="D610" s="23" t="s">
        <v>3666</v>
      </c>
      <c r="E610" s="23" t="s">
        <v>1514</v>
      </c>
      <c r="F610" s="23">
        <v>6</v>
      </c>
      <c r="G610" s="23">
        <v>4265.8599999999997</v>
      </c>
      <c r="H610" s="23">
        <v>25595.16</v>
      </c>
    </row>
    <row r="611" spans="1:8">
      <c r="A611" s="27">
        <v>45178</v>
      </c>
      <c r="B611" s="23" t="s">
        <v>1535</v>
      </c>
      <c r="C611" s="23" t="s">
        <v>2549</v>
      </c>
      <c r="D611" s="23" t="s">
        <v>3660</v>
      </c>
      <c r="E611" s="23" t="s">
        <v>1514</v>
      </c>
      <c r="F611" s="23">
        <v>15</v>
      </c>
      <c r="G611" s="23">
        <v>1790.03</v>
      </c>
      <c r="H611" s="23">
        <v>26850.45</v>
      </c>
    </row>
    <row r="612" spans="1:8">
      <c r="A612" s="27">
        <v>45044</v>
      </c>
      <c r="B612" s="23" t="s">
        <v>1537</v>
      </c>
      <c r="C612" s="23" t="s">
        <v>2552</v>
      </c>
      <c r="D612" s="23" t="s">
        <v>3662</v>
      </c>
      <c r="E612" s="23" t="s">
        <v>1514</v>
      </c>
      <c r="F612" s="23">
        <v>12</v>
      </c>
      <c r="G612" s="23">
        <v>1104.74</v>
      </c>
      <c r="H612" s="23">
        <v>13256.88</v>
      </c>
    </row>
    <row r="613" spans="1:8">
      <c r="A613" s="27">
        <v>45138</v>
      </c>
      <c r="B613" s="23" t="s">
        <v>1535</v>
      </c>
      <c r="C613" s="23" t="s">
        <v>2548</v>
      </c>
      <c r="D613" s="23" t="s">
        <v>3664</v>
      </c>
      <c r="E613" s="23" t="s">
        <v>1517</v>
      </c>
      <c r="F613" s="23">
        <v>14</v>
      </c>
      <c r="G613" s="23">
        <v>948.05</v>
      </c>
      <c r="H613" s="23">
        <v>13272.7</v>
      </c>
    </row>
    <row r="614" spans="1:8">
      <c r="A614" s="27">
        <v>44951</v>
      </c>
      <c r="B614" s="23" t="s">
        <v>1537</v>
      </c>
      <c r="C614" s="23" t="s">
        <v>2552</v>
      </c>
      <c r="D614" s="23" t="s">
        <v>3662</v>
      </c>
      <c r="E614" s="23" t="s">
        <v>1514</v>
      </c>
      <c r="F614" s="23">
        <v>4</v>
      </c>
      <c r="G614" s="23">
        <v>2625.31</v>
      </c>
      <c r="H614" s="23">
        <v>10501.24</v>
      </c>
    </row>
    <row r="615" spans="1:8">
      <c r="A615" s="27">
        <v>45078</v>
      </c>
      <c r="B615" s="23" t="s">
        <v>1537</v>
      </c>
      <c r="C615" s="23" t="s">
        <v>2550</v>
      </c>
      <c r="D615" s="23" t="s">
        <v>3656</v>
      </c>
      <c r="E615" s="23" t="s">
        <v>1516</v>
      </c>
      <c r="F615" s="23">
        <v>12</v>
      </c>
      <c r="G615" s="23">
        <v>3785.29</v>
      </c>
      <c r="H615" s="23">
        <v>45423.48</v>
      </c>
    </row>
    <row r="616" spans="1:8">
      <c r="A616" s="27">
        <v>45226</v>
      </c>
      <c r="B616" s="23" t="s">
        <v>1537</v>
      </c>
      <c r="C616" s="23" t="s">
        <v>2552</v>
      </c>
      <c r="D616" s="23" t="s">
        <v>3662</v>
      </c>
      <c r="E616" s="23" t="s">
        <v>1518</v>
      </c>
      <c r="F616" s="23">
        <v>19</v>
      </c>
      <c r="G616" s="23">
        <v>2386.59</v>
      </c>
      <c r="H616" s="23">
        <v>45345.21</v>
      </c>
    </row>
    <row r="617" spans="1:8">
      <c r="A617" s="27">
        <v>45159</v>
      </c>
      <c r="B617" s="23" t="s">
        <v>1538</v>
      </c>
      <c r="C617" s="23" t="s">
        <v>2551</v>
      </c>
      <c r="D617" s="23" t="s">
        <v>3669</v>
      </c>
      <c r="E617" s="23" t="s">
        <v>1514</v>
      </c>
      <c r="F617" s="23">
        <v>20</v>
      </c>
      <c r="G617" s="23">
        <v>3438.25</v>
      </c>
      <c r="H617" s="23">
        <v>68765</v>
      </c>
    </row>
    <row r="618" spans="1:8">
      <c r="A618" s="27">
        <v>45183</v>
      </c>
      <c r="B618" s="23" t="s">
        <v>1537</v>
      </c>
      <c r="C618" s="23" t="s">
        <v>2550</v>
      </c>
      <c r="D618" s="23" t="s">
        <v>3661</v>
      </c>
      <c r="E618" s="23" t="s">
        <v>1516</v>
      </c>
      <c r="F618" s="23">
        <v>18</v>
      </c>
      <c r="G618" s="23">
        <v>4422.21</v>
      </c>
      <c r="H618" s="23">
        <v>79599.78</v>
      </c>
    </row>
    <row r="619" spans="1:8">
      <c r="A619" s="27">
        <v>45037</v>
      </c>
      <c r="B619" s="23" t="s">
        <v>1537</v>
      </c>
      <c r="C619" s="23" t="s">
        <v>2550</v>
      </c>
      <c r="D619" s="23" t="s">
        <v>3661</v>
      </c>
      <c r="E619" s="23" t="s">
        <v>1518</v>
      </c>
      <c r="F619" s="23">
        <v>7</v>
      </c>
      <c r="G619" s="23">
        <v>299.68</v>
      </c>
      <c r="H619" s="23">
        <v>2097.7600000000002</v>
      </c>
    </row>
    <row r="620" spans="1:8">
      <c r="A620" s="27">
        <v>45182</v>
      </c>
      <c r="B620" s="23" t="s">
        <v>1535</v>
      </c>
      <c r="C620" s="23" t="s">
        <v>2549</v>
      </c>
      <c r="D620" s="23" t="s">
        <v>3660</v>
      </c>
      <c r="E620" s="23" t="s">
        <v>1516</v>
      </c>
      <c r="F620" s="23">
        <v>6</v>
      </c>
      <c r="G620" s="23">
        <v>3279.45</v>
      </c>
      <c r="H620" s="23">
        <v>19676.7</v>
      </c>
    </row>
    <row r="621" spans="1:8">
      <c r="A621" s="27">
        <v>45077</v>
      </c>
      <c r="B621" s="23" t="s">
        <v>1535</v>
      </c>
      <c r="C621" s="23" t="s">
        <v>2549</v>
      </c>
      <c r="D621" s="23" t="s">
        <v>3660</v>
      </c>
      <c r="E621" s="23" t="s">
        <v>3657</v>
      </c>
      <c r="F621" s="23">
        <v>4</v>
      </c>
      <c r="G621" s="23">
        <v>2298.98</v>
      </c>
      <c r="H621" s="23">
        <v>9195.92</v>
      </c>
    </row>
    <row r="622" spans="1:8">
      <c r="A622" s="27">
        <v>44942</v>
      </c>
      <c r="B622" s="23" t="s">
        <v>1537</v>
      </c>
      <c r="C622" s="23" t="s">
        <v>2550</v>
      </c>
      <c r="D622" s="23" t="s">
        <v>3658</v>
      </c>
      <c r="E622" s="23" t="s">
        <v>1516</v>
      </c>
      <c r="F622" s="23">
        <v>15</v>
      </c>
      <c r="G622" s="23">
        <v>2174.4499999999998</v>
      </c>
      <c r="H622" s="23">
        <v>32616.75</v>
      </c>
    </row>
    <row r="623" spans="1:8">
      <c r="A623" s="27">
        <v>45105</v>
      </c>
      <c r="B623" s="23" t="s">
        <v>1537</v>
      </c>
      <c r="C623" s="23" t="s">
        <v>2552</v>
      </c>
      <c r="D623" s="23" t="s">
        <v>3667</v>
      </c>
      <c r="E623" s="23" t="s">
        <v>3657</v>
      </c>
      <c r="F623" s="23">
        <v>10</v>
      </c>
      <c r="G623" s="23">
        <v>4761.1899999999996</v>
      </c>
      <c r="H623" s="23">
        <v>47611.9</v>
      </c>
    </row>
    <row r="624" spans="1:8">
      <c r="A624" s="27">
        <v>45290</v>
      </c>
      <c r="B624" s="23" t="s">
        <v>1535</v>
      </c>
      <c r="C624" s="23" t="s">
        <v>2549</v>
      </c>
      <c r="D624" s="23" t="s">
        <v>3654</v>
      </c>
      <c r="E624" s="23" t="s">
        <v>1516</v>
      </c>
      <c r="F624" s="23">
        <v>18</v>
      </c>
      <c r="G624" s="23">
        <v>1533.77</v>
      </c>
      <c r="H624" s="23">
        <v>27607.86</v>
      </c>
    </row>
    <row r="625" spans="1:8">
      <c r="A625" s="27">
        <v>44973</v>
      </c>
      <c r="B625" s="23" t="s">
        <v>1535</v>
      </c>
      <c r="C625" s="23" t="s">
        <v>2548</v>
      </c>
      <c r="D625" s="23" t="s">
        <v>3664</v>
      </c>
      <c r="E625" s="23" t="s">
        <v>1518</v>
      </c>
      <c r="F625" s="23">
        <v>4</v>
      </c>
      <c r="G625" s="23">
        <v>2331.1</v>
      </c>
      <c r="H625" s="23">
        <v>9324.4</v>
      </c>
    </row>
    <row r="626" spans="1:8">
      <c r="A626" s="27">
        <v>44967</v>
      </c>
      <c r="B626" s="23" t="s">
        <v>1535</v>
      </c>
      <c r="C626" s="23" t="s">
        <v>2548</v>
      </c>
      <c r="D626" s="23" t="s">
        <v>3664</v>
      </c>
      <c r="E626" s="23" t="s">
        <v>1514</v>
      </c>
      <c r="F626" s="23">
        <v>12</v>
      </c>
      <c r="G626" s="23">
        <v>3443.54</v>
      </c>
      <c r="H626" s="23">
        <v>41322.480000000003</v>
      </c>
    </row>
    <row r="627" spans="1:8">
      <c r="A627" s="27">
        <v>45163</v>
      </c>
      <c r="B627" s="23" t="s">
        <v>1537</v>
      </c>
      <c r="C627" s="23" t="s">
        <v>2552</v>
      </c>
      <c r="D627" s="23" t="s">
        <v>3655</v>
      </c>
      <c r="E627" s="23" t="s">
        <v>3657</v>
      </c>
      <c r="F627" s="23">
        <v>8</v>
      </c>
      <c r="G627" s="23">
        <v>3547.38</v>
      </c>
      <c r="H627" s="23">
        <v>28379.040000000001</v>
      </c>
    </row>
    <row r="628" spans="1:8">
      <c r="A628" s="27">
        <v>45043</v>
      </c>
      <c r="B628" s="23" t="s">
        <v>1535</v>
      </c>
      <c r="C628" s="23" t="s">
        <v>2548</v>
      </c>
      <c r="D628" s="23" t="s">
        <v>3666</v>
      </c>
      <c r="E628" s="23" t="s">
        <v>1518</v>
      </c>
      <c r="F628" s="23">
        <v>15</v>
      </c>
      <c r="G628" s="23">
        <v>866.62</v>
      </c>
      <c r="H628" s="23">
        <v>12999.3</v>
      </c>
    </row>
    <row r="629" spans="1:8">
      <c r="A629" s="27">
        <v>45134</v>
      </c>
      <c r="B629" s="23" t="s">
        <v>1535</v>
      </c>
      <c r="C629" s="23" t="s">
        <v>2549</v>
      </c>
      <c r="D629" s="23" t="s">
        <v>3660</v>
      </c>
      <c r="E629" s="23" t="s">
        <v>1514</v>
      </c>
      <c r="F629" s="23">
        <v>9</v>
      </c>
      <c r="G629" s="23">
        <v>1280.74</v>
      </c>
      <c r="H629" s="23">
        <v>11526.66</v>
      </c>
    </row>
    <row r="630" spans="1:8">
      <c r="A630" s="27">
        <v>45287</v>
      </c>
      <c r="B630" s="23" t="s">
        <v>1537</v>
      </c>
      <c r="C630" s="23" t="s">
        <v>2552</v>
      </c>
      <c r="D630" s="23" t="s">
        <v>3655</v>
      </c>
      <c r="E630" s="23" t="s">
        <v>3657</v>
      </c>
      <c r="F630" s="23">
        <v>19</v>
      </c>
      <c r="G630" s="23">
        <v>2513.27</v>
      </c>
      <c r="H630" s="23">
        <v>47752.13</v>
      </c>
    </row>
    <row r="631" spans="1:8">
      <c r="A631" s="27">
        <v>44960</v>
      </c>
      <c r="B631" s="23" t="s">
        <v>1538</v>
      </c>
      <c r="C631" s="23" t="s">
        <v>2551</v>
      </c>
      <c r="D631" s="23" t="s">
        <v>3669</v>
      </c>
      <c r="E631" s="23" t="s">
        <v>1516</v>
      </c>
      <c r="F631" s="23">
        <v>14</v>
      </c>
      <c r="G631" s="23">
        <v>2371.85</v>
      </c>
      <c r="H631" s="23">
        <v>33205.9</v>
      </c>
    </row>
    <row r="632" spans="1:8">
      <c r="A632" s="27">
        <v>45083</v>
      </c>
      <c r="B632" s="23" t="s">
        <v>1537</v>
      </c>
      <c r="C632" s="23" t="s">
        <v>2552</v>
      </c>
      <c r="D632" s="23" t="s">
        <v>3655</v>
      </c>
      <c r="E632" s="23" t="s">
        <v>1516</v>
      </c>
      <c r="F632" s="23">
        <v>9</v>
      </c>
      <c r="G632" s="23">
        <v>2438.9899999999998</v>
      </c>
      <c r="H632" s="23">
        <v>21950.91</v>
      </c>
    </row>
    <row r="633" spans="1:8">
      <c r="A633" s="27">
        <v>45086</v>
      </c>
      <c r="B633" s="23" t="s">
        <v>1537</v>
      </c>
      <c r="C633" s="23" t="s">
        <v>2552</v>
      </c>
      <c r="D633" s="23" t="s">
        <v>3655</v>
      </c>
      <c r="E633" s="23" t="s">
        <v>1517</v>
      </c>
      <c r="F633" s="23">
        <v>19</v>
      </c>
      <c r="G633" s="23">
        <v>3044.32</v>
      </c>
      <c r="H633" s="23">
        <v>57842.080000000002</v>
      </c>
    </row>
    <row r="634" spans="1:8">
      <c r="A634" s="27">
        <v>45007</v>
      </c>
      <c r="B634" s="23" t="s">
        <v>1535</v>
      </c>
      <c r="C634" s="23" t="s">
        <v>2548</v>
      </c>
      <c r="D634" s="23" t="s">
        <v>3663</v>
      </c>
      <c r="E634" s="23" t="s">
        <v>1518</v>
      </c>
      <c r="F634" s="23">
        <v>3</v>
      </c>
      <c r="G634" s="23">
        <v>2880.4</v>
      </c>
      <c r="H634" s="23">
        <v>8641.2000000000007</v>
      </c>
    </row>
    <row r="635" spans="1:8">
      <c r="A635" s="27">
        <v>45260</v>
      </c>
      <c r="B635" s="23" t="s">
        <v>1537</v>
      </c>
      <c r="C635" s="23" t="s">
        <v>2552</v>
      </c>
      <c r="D635" s="23" t="s">
        <v>3667</v>
      </c>
      <c r="E635" s="23" t="s">
        <v>1516</v>
      </c>
      <c r="F635" s="23">
        <v>2</v>
      </c>
      <c r="G635" s="23">
        <v>2087.14</v>
      </c>
      <c r="H635" s="23">
        <v>4174.28</v>
      </c>
    </row>
    <row r="636" spans="1:8">
      <c r="A636" s="27">
        <v>44993</v>
      </c>
      <c r="B636" s="23" t="s">
        <v>1535</v>
      </c>
      <c r="C636" s="23" t="s">
        <v>2549</v>
      </c>
      <c r="D636" s="23" t="s">
        <v>3660</v>
      </c>
      <c r="E636" s="23" t="s">
        <v>3657</v>
      </c>
      <c r="F636" s="23">
        <v>14</v>
      </c>
      <c r="G636" s="23">
        <v>1694.59</v>
      </c>
      <c r="H636" s="23">
        <v>23724.26</v>
      </c>
    </row>
    <row r="637" spans="1:8">
      <c r="A637" s="27">
        <v>45025</v>
      </c>
      <c r="B637" s="23" t="s">
        <v>1535</v>
      </c>
      <c r="C637" s="23" t="s">
        <v>2548</v>
      </c>
      <c r="D637" s="23" t="s">
        <v>3664</v>
      </c>
      <c r="E637" s="23" t="s">
        <v>1516</v>
      </c>
      <c r="F637" s="23">
        <v>5</v>
      </c>
      <c r="G637" s="23">
        <v>4182.07</v>
      </c>
      <c r="H637" s="23">
        <v>20910.349999999999</v>
      </c>
    </row>
    <row r="638" spans="1:8">
      <c r="A638" s="27">
        <v>44980</v>
      </c>
      <c r="B638" s="23" t="s">
        <v>1535</v>
      </c>
      <c r="C638" s="23" t="s">
        <v>2549</v>
      </c>
      <c r="D638" s="23" t="s">
        <v>3654</v>
      </c>
      <c r="E638" s="23" t="s">
        <v>3657</v>
      </c>
      <c r="F638" s="23">
        <v>20</v>
      </c>
      <c r="G638" s="23">
        <v>4638.2</v>
      </c>
      <c r="H638" s="23">
        <v>92764</v>
      </c>
    </row>
    <row r="639" spans="1:8">
      <c r="A639" s="27">
        <v>45226</v>
      </c>
      <c r="B639" s="23" t="s">
        <v>1535</v>
      </c>
      <c r="C639" s="23" t="s">
        <v>2549</v>
      </c>
      <c r="D639" s="23" t="s">
        <v>3665</v>
      </c>
      <c r="E639" s="23" t="s">
        <v>3657</v>
      </c>
      <c r="F639" s="23">
        <v>1</v>
      </c>
      <c r="G639" s="23">
        <v>1999.98</v>
      </c>
      <c r="H639" s="23">
        <v>1999.98</v>
      </c>
    </row>
    <row r="640" spans="1:8">
      <c r="A640" s="27">
        <v>45212</v>
      </c>
      <c r="B640" s="23" t="s">
        <v>1535</v>
      </c>
      <c r="C640" s="23" t="s">
        <v>2548</v>
      </c>
      <c r="D640" s="23" t="s">
        <v>3664</v>
      </c>
      <c r="E640" s="23" t="s">
        <v>1516</v>
      </c>
      <c r="F640" s="23">
        <v>14</v>
      </c>
      <c r="G640" s="23">
        <v>3931.74</v>
      </c>
      <c r="H640" s="23">
        <v>55044.36</v>
      </c>
    </row>
    <row r="641" spans="1:8">
      <c r="A641" s="27">
        <v>45049</v>
      </c>
      <c r="B641" s="23" t="s">
        <v>1537</v>
      </c>
      <c r="C641" s="23" t="s">
        <v>2552</v>
      </c>
      <c r="D641" s="23" t="s">
        <v>3662</v>
      </c>
      <c r="E641" s="23" t="s">
        <v>3657</v>
      </c>
      <c r="F641" s="23">
        <v>5</v>
      </c>
      <c r="G641" s="23">
        <v>3898.88</v>
      </c>
      <c r="H641" s="23">
        <v>19494.400000000001</v>
      </c>
    </row>
    <row r="642" spans="1:8">
      <c r="A642" s="27">
        <v>44999</v>
      </c>
      <c r="B642" s="23" t="s">
        <v>1537</v>
      </c>
      <c r="C642" s="23" t="s">
        <v>2550</v>
      </c>
      <c r="D642" s="23" t="s">
        <v>3661</v>
      </c>
      <c r="E642" s="23" t="s">
        <v>1518</v>
      </c>
      <c r="F642" s="23">
        <v>19</v>
      </c>
      <c r="G642" s="23">
        <v>4134.01</v>
      </c>
      <c r="H642" s="23">
        <v>78546.19</v>
      </c>
    </row>
    <row r="643" spans="1:8">
      <c r="A643" s="27">
        <v>45199</v>
      </c>
      <c r="B643" s="23" t="s">
        <v>1535</v>
      </c>
      <c r="C643" s="23" t="s">
        <v>2548</v>
      </c>
      <c r="D643" s="23" t="s">
        <v>3664</v>
      </c>
      <c r="E643" s="23" t="s">
        <v>1514</v>
      </c>
      <c r="F643" s="23">
        <v>1</v>
      </c>
      <c r="G643" s="23">
        <v>2571.59</v>
      </c>
      <c r="H643" s="23">
        <v>2571.59</v>
      </c>
    </row>
    <row r="644" spans="1:8">
      <c r="A644" s="27">
        <v>45206</v>
      </c>
      <c r="B644" s="23" t="s">
        <v>1535</v>
      </c>
      <c r="C644" s="23" t="s">
        <v>2548</v>
      </c>
      <c r="D644" s="23" t="s">
        <v>3663</v>
      </c>
      <c r="E644" s="23" t="s">
        <v>3657</v>
      </c>
      <c r="F644" s="23">
        <v>1</v>
      </c>
      <c r="G644" s="23">
        <v>1286.1099999999999</v>
      </c>
      <c r="H644" s="23">
        <v>1286.1099999999999</v>
      </c>
    </row>
    <row r="645" spans="1:8">
      <c r="A645" s="27">
        <v>45268</v>
      </c>
      <c r="B645" s="23" t="s">
        <v>1537</v>
      </c>
      <c r="C645" s="23" t="s">
        <v>2552</v>
      </c>
      <c r="D645" s="23" t="s">
        <v>3667</v>
      </c>
      <c r="E645" s="23" t="s">
        <v>1514</v>
      </c>
      <c r="F645" s="23">
        <v>5</v>
      </c>
      <c r="G645" s="23">
        <v>1372.78</v>
      </c>
      <c r="H645" s="23">
        <v>6863.9</v>
      </c>
    </row>
    <row r="646" spans="1:8">
      <c r="A646" s="27">
        <v>45215</v>
      </c>
      <c r="B646" s="23" t="s">
        <v>1535</v>
      </c>
      <c r="C646" s="23" t="s">
        <v>2548</v>
      </c>
      <c r="D646" s="23" t="s">
        <v>3664</v>
      </c>
      <c r="E646" s="23" t="s">
        <v>1516</v>
      </c>
      <c r="F646" s="23">
        <v>2</v>
      </c>
      <c r="G646" s="23">
        <v>1673.1</v>
      </c>
      <c r="H646" s="23">
        <v>3346.2</v>
      </c>
    </row>
    <row r="647" spans="1:8">
      <c r="A647" s="27">
        <v>45028</v>
      </c>
      <c r="B647" s="23" t="s">
        <v>1535</v>
      </c>
      <c r="C647" s="23" t="s">
        <v>2549</v>
      </c>
      <c r="D647" s="23" t="s">
        <v>3660</v>
      </c>
      <c r="E647" s="23" t="s">
        <v>1514</v>
      </c>
      <c r="F647" s="23">
        <v>7</v>
      </c>
      <c r="G647" s="23">
        <v>1576.4</v>
      </c>
      <c r="H647" s="23">
        <v>11034.8</v>
      </c>
    </row>
    <row r="648" spans="1:8">
      <c r="A648" s="27">
        <v>45162</v>
      </c>
      <c r="B648" s="23" t="s">
        <v>1535</v>
      </c>
      <c r="C648" s="23" t="s">
        <v>2548</v>
      </c>
      <c r="D648" s="23" t="s">
        <v>3664</v>
      </c>
      <c r="E648" s="23" t="s">
        <v>1514</v>
      </c>
      <c r="F648" s="23">
        <v>3</v>
      </c>
      <c r="G648" s="23">
        <v>403.5</v>
      </c>
      <c r="H648" s="23">
        <v>1210.5</v>
      </c>
    </row>
    <row r="649" spans="1:8">
      <c r="A649" s="27">
        <v>45193</v>
      </c>
      <c r="B649" s="23" t="s">
        <v>1535</v>
      </c>
      <c r="C649" s="23" t="s">
        <v>2549</v>
      </c>
      <c r="D649" s="23" t="s">
        <v>3654</v>
      </c>
      <c r="E649" s="23" t="s">
        <v>3657</v>
      </c>
      <c r="F649" s="23">
        <v>10</v>
      </c>
      <c r="G649" s="23">
        <v>2691.21</v>
      </c>
      <c r="H649" s="23">
        <v>26912.1</v>
      </c>
    </row>
    <row r="650" spans="1:8">
      <c r="A650" s="27">
        <v>44985</v>
      </c>
      <c r="B650" s="23" t="s">
        <v>1537</v>
      </c>
      <c r="C650" s="23" t="s">
        <v>2552</v>
      </c>
      <c r="D650" s="23" t="s">
        <v>3667</v>
      </c>
      <c r="E650" s="23" t="s">
        <v>1514</v>
      </c>
      <c r="F650" s="23">
        <v>8</v>
      </c>
      <c r="G650" s="23">
        <v>372.22</v>
      </c>
      <c r="H650" s="23">
        <v>2977.76</v>
      </c>
    </row>
    <row r="651" spans="1:8">
      <c r="A651" s="27">
        <v>44993</v>
      </c>
      <c r="B651" s="23" t="s">
        <v>1537</v>
      </c>
      <c r="C651" s="23" t="s">
        <v>2550</v>
      </c>
      <c r="D651" s="23" t="s">
        <v>3656</v>
      </c>
      <c r="E651" s="23" t="s">
        <v>1514</v>
      </c>
      <c r="F651" s="23">
        <v>19</v>
      </c>
      <c r="G651" s="23">
        <v>4642.84</v>
      </c>
      <c r="H651" s="23">
        <v>88213.96</v>
      </c>
    </row>
    <row r="652" spans="1:8">
      <c r="A652" s="27">
        <v>44962</v>
      </c>
      <c r="B652" s="23" t="s">
        <v>1537</v>
      </c>
      <c r="C652" s="23" t="s">
        <v>2550</v>
      </c>
      <c r="D652" s="23" t="s">
        <v>3658</v>
      </c>
      <c r="E652" s="23" t="s">
        <v>1517</v>
      </c>
      <c r="F652" s="23">
        <v>20</v>
      </c>
      <c r="G652" s="23">
        <v>2860.11</v>
      </c>
      <c r="H652" s="23">
        <v>57202.2</v>
      </c>
    </row>
    <row r="653" spans="1:8">
      <c r="A653" s="27">
        <v>44950</v>
      </c>
      <c r="B653" s="23" t="s">
        <v>1538</v>
      </c>
      <c r="C653" s="23" t="s">
        <v>2551</v>
      </c>
      <c r="D653" s="23" t="s">
        <v>3659</v>
      </c>
      <c r="E653" s="23" t="s">
        <v>1514</v>
      </c>
      <c r="F653" s="23">
        <v>8</v>
      </c>
      <c r="G653" s="23">
        <v>4986.3100000000004</v>
      </c>
      <c r="H653" s="23">
        <v>39890.480000000003</v>
      </c>
    </row>
    <row r="654" spans="1:8">
      <c r="A654" s="27">
        <v>45016</v>
      </c>
      <c r="B654" s="23" t="s">
        <v>1535</v>
      </c>
      <c r="C654" s="23" t="s">
        <v>2548</v>
      </c>
      <c r="D654" s="23" t="s">
        <v>3666</v>
      </c>
      <c r="E654" s="23" t="s">
        <v>1518</v>
      </c>
      <c r="F654" s="23">
        <v>3</v>
      </c>
      <c r="G654" s="23">
        <v>4888.03</v>
      </c>
      <c r="H654" s="23">
        <v>14664.09</v>
      </c>
    </row>
    <row r="655" spans="1:8">
      <c r="A655" s="27">
        <v>45142</v>
      </c>
      <c r="B655" s="23" t="s">
        <v>1538</v>
      </c>
      <c r="C655" s="23" t="s">
        <v>2551</v>
      </c>
      <c r="D655" s="23" t="s">
        <v>3668</v>
      </c>
      <c r="E655" s="23" t="s">
        <v>3657</v>
      </c>
      <c r="F655" s="23">
        <v>11</v>
      </c>
      <c r="G655" s="23">
        <v>3011.73</v>
      </c>
      <c r="H655" s="23">
        <v>33129.03</v>
      </c>
    </row>
    <row r="656" spans="1:8">
      <c r="A656" s="27">
        <v>45264</v>
      </c>
      <c r="B656" s="23" t="s">
        <v>1535</v>
      </c>
      <c r="C656" s="23" t="s">
        <v>2548</v>
      </c>
      <c r="D656" s="23" t="s">
        <v>3663</v>
      </c>
      <c r="E656" s="23" t="s">
        <v>1518</v>
      </c>
      <c r="F656" s="23">
        <v>16</v>
      </c>
      <c r="G656" s="23">
        <v>3082.84</v>
      </c>
      <c r="H656" s="23">
        <v>49325.440000000002</v>
      </c>
    </row>
    <row r="657" spans="1:8">
      <c r="A657" s="27">
        <v>45253</v>
      </c>
      <c r="B657" s="23" t="s">
        <v>1535</v>
      </c>
      <c r="C657" s="23" t="s">
        <v>2549</v>
      </c>
      <c r="D657" s="23" t="s">
        <v>3660</v>
      </c>
      <c r="E657" s="23" t="s">
        <v>1516</v>
      </c>
      <c r="F657" s="23">
        <v>6</v>
      </c>
      <c r="G657" s="23">
        <v>4908.9799999999996</v>
      </c>
      <c r="H657" s="23">
        <v>29453.88</v>
      </c>
    </row>
    <row r="658" spans="1:8">
      <c r="A658" s="27">
        <v>44976</v>
      </c>
      <c r="B658" s="23" t="s">
        <v>1535</v>
      </c>
      <c r="C658" s="23" t="s">
        <v>2548</v>
      </c>
      <c r="D658" s="23" t="s">
        <v>3663</v>
      </c>
      <c r="E658" s="23" t="s">
        <v>3657</v>
      </c>
      <c r="F658" s="23">
        <v>16</v>
      </c>
      <c r="G658" s="23">
        <v>1514.31</v>
      </c>
      <c r="H658" s="23">
        <v>24228.959999999999</v>
      </c>
    </row>
    <row r="659" spans="1:8">
      <c r="A659" s="27">
        <v>45016</v>
      </c>
      <c r="B659" s="23" t="s">
        <v>1537</v>
      </c>
      <c r="C659" s="23" t="s">
        <v>2552</v>
      </c>
      <c r="D659" s="23" t="s">
        <v>3662</v>
      </c>
      <c r="E659" s="23" t="s">
        <v>1514</v>
      </c>
      <c r="F659" s="23">
        <v>18</v>
      </c>
      <c r="G659" s="23">
        <v>4450.2299999999996</v>
      </c>
      <c r="H659" s="23">
        <v>80104.14</v>
      </c>
    </row>
    <row r="660" spans="1:8">
      <c r="A660" s="27">
        <v>44965</v>
      </c>
      <c r="B660" s="23" t="s">
        <v>1535</v>
      </c>
      <c r="C660" s="23" t="s">
        <v>2548</v>
      </c>
      <c r="D660" s="23" t="s">
        <v>3664</v>
      </c>
      <c r="E660" s="23" t="s">
        <v>1517</v>
      </c>
      <c r="F660" s="23">
        <v>15</v>
      </c>
      <c r="G660" s="23">
        <v>4678.57</v>
      </c>
      <c r="H660" s="23">
        <v>70178.55</v>
      </c>
    </row>
    <row r="661" spans="1:8">
      <c r="A661" s="27">
        <v>45116</v>
      </c>
      <c r="B661" s="23" t="s">
        <v>1535</v>
      </c>
      <c r="C661" s="23" t="s">
        <v>2549</v>
      </c>
      <c r="D661" s="23" t="s">
        <v>3665</v>
      </c>
      <c r="E661" s="23" t="s">
        <v>1514</v>
      </c>
      <c r="F661" s="23">
        <v>18</v>
      </c>
      <c r="G661" s="23">
        <v>1177.8</v>
      </c>
      <c r="H661" s="23">
        <v>21200.400000000001</v>
      </c>
    </row>
    <row r="662" spans="1:8">
      <c r="A662" s="27">
        <v>44934</v>
      </c>
      <c r="B662" s="23" t="s">
        <v>1535</v>
      </c>
      <c r="C662" s="23" t="s">
        <v>2548</v>
      </c>
      <c r="D662" s="23" t="s">
        <v>3663</v>
      </c>
      <c r="E662" s="23" t="s">
        <v>1518</v>
      </c>
      <c r="F662" s="23">
        <v>17</v>
      </c>
      <c r="G662" s="23">
        <v>4136.3100000000004</v>
      </c>
      <c r="H662" s="23">
        <v>70317.27</v>
      </c>
    </row>
    <row r="663" spans="1:8">
      <c r="A663" s="27">
        <v>45128</v>
      </c>
      <c r="B663" s="23" t="s">
        <v>1535</v>
      </c>
      <c r="C663" s="23" t="s">
        <v>2549</v>
      </c>
      <c r="D663" s="23" t="s">
        <v>3654</v>
      </c>
      <c r="E663" s="23" t="s">
        <v>1516</v>
      </c>
      <c r="F663" s="23">
        <v>5</v>
      </c>
      <c r="G663" s="23">
        <v>3156.9</v>
      </c>
      <c r="H663" s="23">
        <v>15784.5</v>
      </c>
    </row>
    <row r="664" spans="1:8">
      <c r="A664" s="27">
        <v>45115</v>
      </c>
      <c r="B664" s="23" t="s">
        <v>1537</v>
      </c>
      <c r="C664" s="23" t="s">
        <v>2552</v>
      </c>
      <c r="D664" s="23" t="s">
        <v>3662</v>
      </c>
      <c r="E664" s="23" t="s">
        <v>1517</v>
      </c>
      <c r="F664" s="23">
        <v>5</v>
      </c>
      <c r="G664" s="23">
        <v>1185.45</v>
      </c>
      <c r="H664" s="23">
        <v>5927.25</v>
      </c>
    </row>
    <row r="665" spans="1:8">
      <c r="A665" s="27">
        <v>44948</v>
      </c>
      <c r="B665" s="23" t="s">
        <v>1537</v>
      </c>
      <c r="C665" s="23" t="s">
        <v>2550</v>
      </c>
      <c r="D665" s="23" t="s">
        <v>3661</v>
      </c>
      <c r="E665" s="23" t="s">
        <v>1516</v>
      </c>
      <c r="F665" s="23">
        <v>13</v>
      </c>
      <c r="G665" s="23">
        <v>818.58</v>
      </c>
      <c r="H665" s="23">
        <v>10641.54</v>
      </c>
    </row>
    <row r="666" spans="1:8">
      <c r="A666" s="27">
        <v>45241</v>
      </c>
      <c r="B666" s="23" t="s">
        <v>1537</v>
      </c>
      <c r="C666" s="23" t="s">
        <v>2552</v>
      </c>
      <c r="D666" s="23" t="s">
        <v>3667</v>
      </c>
      <c r="E666" s="23" t="s">
        <v>3657</v>
      </c>
      <c r="F666" s="23">
        <v>10</v>
      </c>
      <c r="G666" s="23">
        <v>2539.6799999999998</v>
      </c>
      <c r="H666" s="23">
        <v>25396.799999999999</v>
      </c>
    </row>
    <row r="667" spans="1:8">
      <c r="A667" s="27">
        <v>45229</v>
      </c>
      <c r="B667" s="23" t="s">
        <v>1537</v>
      </c>
      <c r="C667" s="23" t="s">
        <v>2550</v>
      </c>
      <c r="D667" s="23" t="s">
        <v>3661</v>
      </c>
      <c r="E667" s="23" t="s">
        <v>1514</v>
      </c>
      <c r="F667" s="23">
        <v>7</v>
      </c>
      <c r="G667" s="23">
        <v>1316.13</v>
      </c>
      <c r="H667" s="23">
        <v>9212.91</v>
      </c>
    </row>
    <row r="668" spans="1:8">
      <c r="A668" s="27">
        <v>44992</v>
      </c>
      <c r="B668" s="23" t="s">
        <v>1537</v>
      </c>
      <c r="C668" s="23" t="s">
        <v>2552</v>
      </c>
      <c r="D668" s="23" t="s">
        <v>3655</v>
      </c>
      <c r="E668" s="23" t="s">
        <v>3657</v>
      </c>
      <c r="F668" s="23">
        <v>5</v>
      </c>
      <c r="G668" s="23">
        <v>1991.64</v>
      </c>
      <c r="H668" s="23">
        <v>9958.2000000000007</v>
      </c>
    </row>
    <row r="669" spans="1:8">
      <c r="A669" s="27">
        <v>45101</v>
      </c>
      <c r="B669" s="23" t="s">
        <v>1537</v>
      </c>
      <c r="C669" s="23" t="s">
        <v>2552</v>
      </c>
      <c r="D669" s="23" t="s">
        <v>3662</v>
      </c>
      <c r="E669" s="23" t="s">
        <v>3657</v>
      </c>
      <c r="F669" s="23">
        <v>12</v>
      </c>
      <c r="G669" s="23">
        <v>4572.79</v>
      </c>
      <c r="H669" s="23">
        <v>54873.48</v>
      </c>
    </row>
    <row r="670" spans="1:8">
      <c r="A670" s="27">
        <v>45028</v>
      </c>
      <c r="B670" s="23" t="s">
        <v>1537</v>
      </c>
      <c r="C670" s="23" t="s">
        <v>2552</v>
      </c>
      <c r="D670" s="23" t="s">
        <v>3662</v>
      </c>
      <c r="E670" s="23" t="s">
        <v>3657</v>
      </c>
      <c r="F670" s="23">
        <v>2</v>
      </c>
      <c r="G670" s="23">
        <v>2493.06</v>
      </c>
      <c r="H670" s="23">
        <v>4986.12</v>
      </c>
    </row>
    <row r="671" spans="1:8">
      <c r="A671" s="27">
        <v>44957</v>
      </c>
      <c r="B671" s="23" t="s">
        <v>1537</v>
      </c>
      <c r="C671" s="23" t="s">
        <v>2552</v>
      </c>
      <c r="D671" s="23" t="s">
        <v>3655</v>
      </c>
      <c r="E671" s="23" t="s">
        <v>1514</v>
      </c>
      <c r="F671" s="23">
        <v>15</v>
      </c>
      <c r="G671" s="23">
        <v>3270.81</v>
      </c>
      <c r="H671" s="23">
        <v>49062.15</v>
      </c>
    </row>
    <row r="672" spans="1:8">
      <c r="A672" s="27">
        <v>45283</v>
      </c>
      <c r="B672" s="23" t="s">
        <v>1535</v>
      </c>
      <c r="C672" s="23" t="s">
        <v>2548</v>
      </c>
      <c r="D672" s="23" t="s">
        <v>3663</v>
      </c>
      <c r="E672" s="23" t="s">
        <v>1518</v>
      </c>
      <c r="F672" s="23">
        <v>8</v>
      </c>
      <c r="G672" s="23">
        <v>4009.51</v>
      </c>
      <c r="H672" s="23">
        <v>32076.080000000002</v>
      </c>
    </row>
    <row r="673" spans="1:8">
      <c r="A673" s="27">
        <v>44976</v>
      </c>
      <c r="B673" s="23" t="s">
        <v>1535</v>
      </c>
      <c r="C673" s="23" t="s">
        <v>2548</v>
      </c>
      <c r="D673" s="23" t="s">
        <v>3663</v>
      </c>
      <c r="E673" s="23" t="s">
        <v>3657</v>
      </c>
      <c r="F673" s="23">
        <v>1</v>
      </c>
      <c r="G673" s="23">
        <v>302.02</v>
      </c>
      <c r="H673" s="23">
        <v>302.02</v>
      </c>
    </row>
    <row r="674" spans="1:8">
      <c r="A674" s="27">
        <v>45291</v>
      </c>
      <c r="B674" s="23" t="s">
        <v>1535</v>
      </c>
      <c r="C674" s="23" t="s">
        <v>2549</v>
      </c>
      <c r="D674" s="23" t="s">
        <v>3665</v>
      </c>
      <c r="E674" s="23" t="s">
        <v>1518</v>
      </c>
      <c r="F674" s="23">
        <v>10</v>
      </c>
      <c r="G674" s="23">
        <v>4995.74</v>
      </c>
      <c r="H674" s="23">
        <v>49957.4</v>
      </c>
    </row>
    <row r="675" spans="1:8">
      <c r="A675" s="27">
        <v>44927</v>
      </c>
      <c r="B675" s="23" t="s">
        <v>1535</v>
      </c>
      <c r="C675" s="23" t="s">
        <v>2549</v>
      </c>
      <c r="D675" s="23" t="s">
        <v>3654</v>
      </c>
      <c r="E675" s="23" t="s">
        <v>1518</v>
      </c>
      <c r="F675" s="23">
        <v>9</v>
      </c>
      <c r="G675" s="23">
        <v>4858.75</v>
      </c>
      <c r="H675" s="23">
        <v>43728.75</v>
      </c>
    </row>
    <row r="676" spans="1:8">
      <c r="A676" s="27">
        <v>45001</v>
      </c>
      <c r="B676" s="23" t="s">
        <v>1535</v>
      </c>
      <c r="C676" s="23" t="s">
        <v>2548</v>
      </c>
      <c r="D676" s="23" t="s">
        <v>3666</v>
      </c>
      <c r="E676" s="23" t="s">
        <v>1514</v>
      </c>
      <c r="F676" s="23">
        <v>2</v>
      </c>
      <c r="G676" s="23">
        <v>1971</v>
      </c>
      <c r="H676" s="23">
        <v>3942</v>
      </c>
    </row>
    <row r="677" spans="1:8">
      <c r="A677" s="27">
        <v>45245</v>
      </c>
      <c r="B677" s="23" t="s">
        <v>1535</v>
      </c>
      <c r="C677" s="23" t="s">
        <v>2549</v>
      </c>
      <c r="D677" s="23" t="s">
        <v>3660</v>
      </c>
      <c r="E677" s="23" t="s">
        <v>1514</v>
      </c>
      <c r="F677" s="23">
        <v>12</v>
      </c>
      <c r="G677" s="23">
        <v>4713.26</v>
      </c>
      <c r="H677" s="23">
        <v>56559.12</v>
      </c>
    </row>
    <row r="678" spans="1:8">
      <c r="A678" s="27">
        <v>45226</v>
      </c>
      <c r="B678" s="23" t="s">
        <v>1538</v>
      </c>
      <c r="C678" s="23" t="s">
        <v>2551</v>
      </c>
      <c r="D678" s="23" t="s">
        <v>3659</v>
      </c>
      <c r="E678" s="23" t="s">
        <v>1516</v>
      </c>
      <c r="F678" s="23">
        <v>5</v>
      </c>
      <c r="G678" s="23">
        <v>4993.87</v>
      </c>
      <c r="H678" s="23">
        <v>24969.35</v>
      </c>
    </row>
    <row r="679" spans="1:8">
      <c r="A679" s="27">
        <v>45100</v>
      </c>
      <c r="B679" s="23" t="s">
        <v>1535</v>
      </c>
      <c r="C679" s="23" t="s">
        <v>2548</v>
      </c>
      <c r="D679" s="23" t="s">
        <v>3663</v>
      </c>
      <c r="E679" s="23" t="s">
        <v>1514</v>
      </c>
      <c r="F679" s="23">
        <v>12</v>
      </c>
      <c r="G679" s="23">
        <v>255.59</v>
      </c>
      <c r="H679" s="23">
        <v>3067.08</v>
      </c>
    </row>
    <row r="680" spans="1:8">
      <c r="A680" s="27">
        <v>45173</v>
      </c>
      <c r="B680" s="23" t="s">
        <v>1537</v>
      </c>
      <c r="C680" s="23" t="s">
        <v>2552</v>
      </c>
      <c r="D680" s="23" t="s">
        <v>3655</v>
      </c>
      <c r="E680" s="23" t="s">
        <v>1514</v>
      </c>
      <c r="F680" s="23">
        <v>11</v>
      </c>
      <c r="G680" s="23">
        <v>1169.3</v>
      </c>
      <c r="H680" s="23">
        <v>12862.3</v>
      </c>
    </row>
    <row r="681" spans="1:8">
      <c r="A681" s="27">
        <v>45014</v>
      </c>
      <c r="B681" s="23" t="s">
        <v>1535</v>
      </c>
      <c r="C681" s="23" t="s">
        <v>2549</v>
      </c>
      <c r="D681" s="23" t="s">
        <v>3665</v>
      </c>
      <c r="E681" s="23" t="s">
        <v>1516</v>
      </c>
      <c r="F681" s="23">
        <v>12</v>
      </c>
      <c r="G681" s="23">
        <v>593.52</v>
      </c>
      <c r="H681" s="23">
        <v>7122.24</v>
      </c>
    </row>
    <row r="682" spans="1:8">
      <c r="A682" s="27">
        <v>45280</v>
      </c>
      <c r="B682" s="23" t="s">
        <v>1535</v>
      </c>
      <c r="C682" s="23" t="s">
        <v>2549</v>
      </c>
      <c r="D682" s="23" t="s">
        <v>3665</v>
      </c>
      <c r="E682" s="23" t="s">
        <v>1518</v>
      </c>
      <c r="F682" s="23">
        <v>7</v>
      </c>
      <c r="G682" s="23">
        <v>1711.81</v>
      </c>
      <c r="H682" s="23">
        <v>11982.67</v>
      </c>
    </row>
    <row r="683" spans="1:8">
      <c r="A683" s="27">
        <v>45201</v>
      </c>
      <c r="B683" s="23" t="s">
        <v>1537</v>
      </c>
      <c r="C683" s="23" t="s">
        <v>2552</v>
      </c>
      <c r="D683" s="23" t="s">
        <v>3662</v>
      </c>
      <c r="E683" s="23" t="s">
        <v>1517</v>
      </c>
      <c r="F683" s="23">
        <v>12</v>
      </c>
      <c r="G683" s="23">
        <v>4945.7700000000004</v>
      </c>
      <c r="H683" s="23">
        <v>59349.24</v>
      </c>
    </row>
    <row r="684" spans="1:8">
      <c r="A684" s="27">
        <v>45127</v>
      </c>
      <c r="B684" s="23" t="s">
        <v>1538</v>
      </c>
      <c r="C684" s="23" t="s">
        <v>2551</v>
      </c>
      <c r="D684" s="23" t="s">
        <v>3659</v>
      </c>
      <c r="E684" s="23" t="s">
        <v>1517</v>
      </c>
      <c r="F684" s="23">
        <v>17</v>
      </c>
      <c r="G684" s="23">
        <v>4502.3900000000003</v>
      </c>
      <c r="H684" s="23">
        <v>76540.63</v>
      </c>
    </row>
    <row r="685" spans="1:8">
      <c r="A685" s="27">
        <v>45096</v>
      </c>
      <c r="B685" s="23" t="s">
        <v>1535</v>
      </c>
      <c r="C685" s="23" t="s">
        <v>2549</v>
      </c>
      <c r="D685" s="23" t="s">
        <v>3660</v>
      </c>
      <c r="E685" s="23" t="s">
        <v>1518</v>
      </c>
      <c r="F685" s="23">
        <v>3</v>
      </c>
      <c r="G685" s="23">
        <v>264.98</v>
      </c>
      <c r="H685" s="23">
        <v>794.94</v>
      </c>
    </row>
    <row r="686" spans="1:8">
      <c r="A686" s="27">
        <v>45171</v>
      </c>
      <c r="B686" s="23" t="s">
        <v>1537</v>
      </c>
      <c r="C686" s="23" t="s">
        <v>2552</v>
      </c>
      <c r="D686" s="23" t="s">
        <v>3667</v>
      </c>
      <c r="E686" s="23" t="s">
        <v>1516</v>
      </c>
      <c r="F686" s="23">
        <v>11</v>
      </c>
      <c r="G686" s="23">
        <v>4758.46</v>
      </c>
      <c r="H686" s="23">
        <v>52343.06</v>
      </c>
    </row>
    <row r="687" spans="1:8">
      <c r="A687" s="27">
        <v>45030</v>
      </c>
      <c r="B687" s="23" t="s">
        <v>1535</v>
      </c>
      <c r="C687" s="23" t="s">
        <v>2549</v>
      </c>
      <c r="D687" s="23" t="s">
        <v>3665</v>
      </c>
      <c r="E687" s="23" t="s">
        <v>1516</v>
      </c>
      <c r="F687" s="23">
        <v>1</v>
      </c>
      <c r="G687" s="23">
        <v>2517.3200000000002</v>
      </c>
      <c r="H687" s="23">
        <v>2517.3200000000002</v>
      </c>
    </row>
    <row r="688" spans="1:8">
      <c r="A688" s="27">
        <v>45072</v>
      </c>
      <c r="B688" s="23" t="s">
        <v>1537</v>
      </c>
      <c r="C688" s="23" t="s">
        <v>2552</v>
      </c>
      <c r="D688" s="23" t="s">
        <v>3667</v>
      </c>
      <c r="E688" s="23" t="s">
        <v>3657</v>
      </c>
      <c r="F688" s="23">
        <v>16</v>
      </c>
      <c r="G688" s="23">
        <v>2231.67</v>
      </c>
      <c r="H688" s="23">
        <v>35706.720000000001</v>
      </c>
    </row>
    <row r="689" spans="1:8">
      <c r="A689" s="27">
        <v>45191</v>
      </c>
      <c r="B689" s="23" t="s">
        <v>1537</v>
      </c>
      <c r="C689" s="23" t="s">
        <v>2550</v>
      </c>
      <c r="D689" s="23" t="s">
        <v>3656</v>
      </c>
      <c r="E689" s="23" t="s">
        <v>1514</v>
      </c>
      <c r="F689" s="23">
        <v>20</v>
      </c>
      <c r="G689" s="23">
        <v>4710.8500000000004</v>
      </c>
      <c r="H689" s="23">
        <v>94217</v>
      </c>
    </row>
    <row r="690" spans="1:8">
      <c r="A690" s="27">
        <v>45066</v>
      </c>
      <c r="B690" s="23" t="s">
        <v>1538</v>
      </c>
      <c r="C690" s="23" t="s">
        <v>2551</v>
      </c>
      <c r="D690" s="23" t="s">
        <v>3668</v>
      </c>
      <c r="E690" s="23" t="s">
        <v>1518</v>
      </c>
      <c r="F690" s="23">
        <v>13</v>
      </c>
      <c r="G690" s="23">
        <v>3423.36</v>
      </c>
      <c r="H690" s="23">
        <v>44503.68</v>
      </c>
    </row>
    <row r="691" spans="1:8">
      <c r="A691" s="27">
        <v>45045</v>
      </c>
      <c r="B691" s="23" t="s">
        <v>1535</v>
      </c>
      <c r="C691" s="23" t="s">
        <v>2549</v>
      </c>
      <c r="D691" s="23" t="s">
        <v>3665</v>
      </c>
      <c r="E691" s="23" t="s">
        <v>1517</v>
      </c>
      <c r="F691" s="23">
        <v>12</v>
      </c>
      <c r="G691" s="23">
        <v>3686.27</v>
      </c>
      <c r="H691" s="23">
        <v>44235.24</v>
      </c>
    </row>
    <row r="692" spans="1:8">
      <c r="A692" s="27">
        <v>44964</v>
      </c>
      <c r="B692" s="23" t="s">
        <v>1537</v>
      </c>
      <c r="C692" s="23" t="s">
        <v>2550</v>
      </c>
      <c r="D692" s="23" t="s">
        <v>3656</v>
      </c>
      <c r="E692" s="23" t="s">
        <v>1517</v>
      </c>
      <c r="F692" s="23">
        <v>8</v>
      </c>
      <c r="G692" s="23">
        <v>562.98</v>
      </c>
      <c r="H692" s="23">
        <v>4503.84</v>
      </c>
    </row>
    <row r="693" spans="1:8">
      <c r="A693" s="27">
        <v>45122</v>
      </c>
      <c r="B693" s="23" t="s">
        <v>1537</v>
      </c>
      <c r="C693" s="23" t="s">
        <v>2552</v>
      </c>
      <c r="D693" s="23" t="s">
        <v>3667</v>
      </c>
      <c r="E693" s="23" t="s">
        <v>3657</v>
      </c>
      <c r="F693" s="23">
        <v>11</v>
      </c>
      <c r="G693" s="23">
        <v>3590.89</v>
      </c>
      <c r="H693" s="23">
        <v>39499.79</v>
      </c>
    </row>
    <row r="694" spans="1:8">
      <c r="A694" s="27">
        <v>45286</v>
      </c>
      <c r="B694" s="23" t="s">
        <v>1535</v>
      </c>
      <c r="C694" s="23" t="s">
        <v>2549</v>
      </c>
      <c r="D694" s="23" t="s">
        <v>3665</v>
      </c>
      <c r="E694" s="23" t="s">
        <v>1518</v>
      </c>
      <c r="F694" s="23">
        <v>12</v>
      </c>
      <c r="G694" s="23">
        <v>4765.33</v>
      </c>
      <c r="H694" s="23">
        <v>57183.96</v>
      </c>
    </row>
    <row r="695" spans="1:8">
      <c r="A695" s="27">
        <v>45222</v>
      </c>
      <c r="B695" s="23" t="s">
        <v>1537</v>
      </c>
      <c r="C695" s="23" t="s">
        <v>2550</v>
      </c>
      <c r="D695" s="23" t="s">
        <v>3658</v>
      </c>
      <c r="E695" s="23" t="s">
        <v>1516</v>
      </c>
      <c r="F695" s="23">
        <v>18</v>
      </c>
      <c r="G695" s="23">
        <v>913.13</v>
      </c>
      <c r="H695" s="23">
        <v>16436.34</v>
      </c>
    </row>
    <row r="696" spans="1:8">
      <c r="A696" s="27">
        <v>44966</v>
      </c>
      <c r="B696" s="23" t="s">
        <v>1538</v>
      </c>
      <c r="C696" s="23" t="s">
        <v>2551</v>
      </c>
      <c r="D696" s="23" t="s">
        <v>3669</v>
      </c>
      <c r="E696" s="23" t="s">
        <v>3657</v>
      </c>
      <c r="F696" s="23">
        <v>18</v>
      </c>
      <c r="G696" s="23">
        <v>497.68</v>
      </c>
      <c r="H696" s="23">
        <v>8958.24</v>
      </c>
    </row>
    <row r="697" spans="1:8">
      <c r="A697" s="27">
        <v>45257</v>
      </c>
      <c r="B697" s="23" t="s">
        <v>1535</v>
      </c>
      <c r="C697" s="23" t="s">
        <v>2548</v>
      </c>
      <c r="D697" s="23" t="s">
        <v>3666</v>
      </c>
      <c r="E697" s="23" t="s">
        <v>1516</v>
      </c>
      <c r="F697" s="23">
        <v>4</v>
      </c>
      <c r="G697" s="23">
        <v>1303.8800000000001</v>
      </c>
      <c r="H697" s="23">
        <v>5215.5200000000004</v>
      </c>
    </row>
    <row r="698" spans="1:8">
      <c r="A698" s="27">
        <v>45114</v>
      </c>
      <c r="B698" s="23" t="s">
        <v>1537</v>
      </c>
      <c r="C698" s="23" t="s">
        <v>2552</v>
      </c>
      <c r="D698" s="23" t="s">
        <v>3667</v>
      </c>
      <c r="E698" s="23" t="s">
        <v>3657</v>
      </c>
      <c r="F698" s="23">
        <v>15</v>
      </c>
      <c r="G698" s="23">
        <v>2477.09</v>
      </c>
      <c r="H698" s="23">
        <v>37156.35</v>
      </c>
    </row>
    <row r="699" spans="1:8">
      <c r="A699" s="27">
        <v>45118</v>
      </c>
      <c r="B699" s="23" t="s">
        <v>1537</v>
      </c>
      <c r="C699" s="23" t="s">
        <v>2550</v>
      </c>
      <c r="D699" s="23" t="s">
        <v>3656</v>
      </c>
      <c r="E699" s="23" t="s">
        <v>1516</v>
      </c>
      <c r="F699" s="23">
        <v>13</v>
      </c>
      <c r="G699" s="23">
        <v>4021.84</v>
      </c>
      <c r="H699" s="23">
        <v>52283.92</v>
      </c>
    </row>
    <row r="700" spans="1:8">
      <c r="A700" s="27">
        <v>45166</v>
      </c>
      <c r="B700" s="23" t="s">
        <v>1537</v>
      </c>
      <c r="C700" s="23" t="s">
        <v>2552</v>
      </c>
      <c r="D700" s="23" t="s">
        <v>3667</v>
      </c>
      <c r="E700" s="23" t="s">
        <v>1518</v>
      </c>
      <c r="F700" s="23">
        <v>7</v>
      </c>
      <c r="G700" s="23">
        <v>4083.1</v>
      </c>
      <c r="H700" s="23">
        <v>28581.7</v>
      </c>
    </row>
    <row r="701" spans="1:8">
      <c r="A701" s="27">
        <v>44993</v>
      </c>
      <c r="B701" s="23" t="s">
        <v>1537</v>
      </c>
      <c r="C701" s="23" t="s">
        <v>2550</v>
      </c>
      <c r="D701" s="23" t="s">
        <v>3656</v>
      </c>
      <c r="E701" s="23" t="s">
        <v>3657</v>
      </c>
      <c r="F701" s="23">
        <v>17</v>
      </c>
      <c r="G701" s="23">
        <v>2603.4899999999998</v>
      </c>
      <c r="H701" s="23">
        <v>44259.33</v>
      </c>
    </row>
    <row r="702" spans="1:8">
      <c r="A702" s="27">
        <v>45222</v>
      </c>
      <c r="B702" s="23" t="s">
        <v>1537</v>
      </c>
      <c r="C702" s="23" t="s">
        <v>2552</v>
      </c>
      <c r="D702" s="23" t="s">
        <v>3667</v>
      </c>
      <c r="E702" s="23" t="s">
        <v>1514</v>
      </c>
      <c r="F702" s="23">
        <v>19</v>
      </c>
      <c r="G702" s="23">
        <v>2900.31</v>
      </c>
      <c r="H702" s="23">
        <v>55105.89</v>
      </c>
    </row>
    <row r="703" spans="1:8">
      <c r="A703" s="27">
        <v>45127</v>
      </c>
      <c r="B703" s="23" t="s">
        <v>1535</v>
      </c>
      <c r="C703" s="23" t="s">
        <v>2548</v>
      </c>
      <c r="D703" s="23" t="s">
        <v>3664</v>
      </c>
      <c r="E703" s="23" t="s">
        <v>1517</v>
      </c>
      <c r="F703" s="23">
        <v>2</v>
      </c>
      <c r="G703" s="23">
        <v>1316.79</v>
      </c>
      <c r="H703" s="23">
        <v>2633.58</v>
      </c>
    </row>
    <row r="704" spans="1:8">
      <c r="A704" s="27">
        <v>45110</v>
      </c>
      <c r="B704" s="23" t="s">
        <v>1535</v>
      </c>
      <c r="C704" s="23" t="s">
        <v>2549</v>
      </c>
      <c r="D704" s="23" t="s">
        <v>3665</v>
      </c>
      <c r="E704" s="23" t="s">
        <v>1518</v>
      </c>
      <c r="F704" s="23">
        <v>5</v>
      </c>
      <c r="G704" s="23">
        <v>4716.38</v>
      </c>
      <c r="H704" s="23">
        <v>23581.9</v>
      </c>
    </row>
    <row r="705" spans="1:8">
      <c r="A705" s="27">
        <v>45185</v>
      </c>
      <c r="B705" s="23" t="s">
        <v>1537</v>
      </c>
      <c r="C705" s="23" t="s">
        <v>2550</v>
      </c>
      <c r="D705" s="23" t="s">
        <v>3661</v>
      </c>
      <c r="E705" s="23" t="s">
        <v>1516</v>
      </c>
      <c r="F705" s="23">
        <v>4</v>
      </c>
      <c r="G705" s="23">
        <v>4961.01</v>
      </c>
      <c r="H705" s="23">
        <v>19844.04</v>
      </c>
    </row>
    <row r="706" spans="1:8">
      <c r="A706" s="27">
        <v>44994</v>
      </c>
      <c r="B706" s="23" t="s">
        <v>1535</v>
      </c>
      <c r="C706" s="23" t="s">
        <v>2548</v>
      </c>
      <c r="D706" s="23" t="s">
        <v>3663</v>
      </c>
      <c r="E706" s="23" t="s">
        <v>3657</v>
      </c>
      <c r="F706" s="23">
        <v>7</v>
      </c>
      <c r="G706" s="23">
        <v>1500.87</v>
      </c>
      <c r="H706" s="23">
        <v>10506.09</v>
      </c>
    </row>
    <row r="707" spans="1:8">
      <c r="A707" s="27">
        <v>44953</v>
      </c>
      <c r="B707" s="23" t="s">
        <v>1535</v>
      </c>
      <c r="C707" s="23" t="s">
        <v>2548</v>
      </c>
      <c r="D707" s="23" t="s">
        <v>3666</v>
      </c>
      <c r="E707" s="23" t="s">
        <v>3657</v>
      </c>
      <c r="F707" s="23">
        <v>5</v>
      </c>
      <c r="G707" s="23">
        <v>879.82</v>
      </c>
      <c r="H707" s="23">
        <v>4399.1000000000004</v>
      </c>
    </row>
    <row r="708" spans="1:8">
      <c r="A708" s="27">
        <v>45213</v>
      </c>
      <c r="B708" s="23" t="s">
        <v>1535</v>
      </c>
      <c r="C708" s="23" t="s">
        <v>2548</v>
      </c>
      <c r="D708" s="23" t="s">
        <v>3663</v>
      </c>
      <c r="E708" s="23" t="s">
        <v>1517</v>
      </c>
      <c r="F708" s="23">
        <v>2</v>
      </c>
      <c r="G708" s="23">
        <v>2400.5500000000002</v>
      </c>
      <c r="H708" s="23">
        <v>4801.1000000000004</v>
      </c>
    </row>
    <row r="709" spans="1:8">
      <c r="A709" s="27">
        <v>45088</v>
      </c>
      <c r="B709" s="23" t="s">
        <v>1538</v>
      </c>
      <c r="C709" s="23" t="s">
        <v>2551</v>
      </c>
      <c r="D709" s="23" t="s">
        <v>3669</v>
      </c>
      <c r="E709" s="23" t="s">
        <v>1516</v>
      </c>
      <c r="F709" s="23">
        <v>17</v>
      </c>
      <c r="G709" s="23">
        <v>3878.66</v>
      </c>
      <c r="H709" s="23">
        <v>65937.22</v>
      </c>
    </row>
    <row r="710" spans="1:8">
      <c r="A710" s="27">
        <v>44958</v>
      </c>
      <c r="B710" s="23" t="s">
        <v>1537</v>
      </c>
      <c r="C710" s="23" t="s">
        <v>2552</v>
      </c>
      <c r="D710" s="23" t="s">
        <v>3667</v>
      </c>
      <c r="E710" s="23" t="s">
        <v>3657</v>
      </c>
      <c r="F710" s="23">
        <v>6</v>
      </c>
      <c r="G710" s="23">
        <v>3116.12</v>
      </c>
      <c r="H710" s="23">
        <v>18696.72</v>
      </c>
    </row>
    <row r="711" spans="1:8">
      <c r="A711" s="27">
        <v>45138</v>
      </c>
      <c r="B711" s="23" t="s">
        <v>1535</v>
      </c>
      <c r="C711" s="23" t="s">
        <v>2548</v>
      </c>
      <c r="D711" s="23" t="s">
        <v>3663</v>
      </c>
      <c r="E711" s="23" t="s">
        <v>1518</v>
      </c>
      <c r="F711" s="23">
        <v>16</v>
      </c>
      <c r="G711" s="23">
        <v>2747.36</v>
      </c>
      <c r="H711" s="23">
        <v>43957.760000000002</v>
      </c>
    </row>
    <row r="712" spans="1:8">
      <c r="A712" s="27">
        <v>45201</v>
      </c>
      <c r="B712" s="23" t="s">
        <v>1535</v>
      </c>
      <c r="C712" s="23" t="s">
        <v>2548</v>
      </c>
      <c r="D712" s="23" t="s">
        <v>3663</v>
      </c>
      <c r="E712" s="23" t="s">
        <v>1517</v>
      </c>
      <c r="F712" s="23">
        <v>17</v>
      </c>
      <c r="G712" s="23">
        <v>3971.7</v>
      </c>
      <c r="H712" s="23">
        <v>67518.899999999994</v>
      </c>
    </row>
    <row r="713" spans="1:8">
      <c r="A713" s="27">
        <v>45199</v>
      </c>
      <c r="B713" s="23" t="s">
        <v>1537</v>
      </c>
      <c r="C713" s="23" t="s">
        <v>2552</v>
      </c>
      <c r="D713" s="23" t="s">
        <v>3662</v>
      </c>
      <c r="E713" s="23" t="s">
        <v>1514</v>
      </c>
      <c r="F713" s="23">
        <v>18</v>
      </c>
      <c r="G713" s="23">
        <v>678.76</v>
      </c>
      <c r="H713" s="23">
        <v>12217.68</v>
      </c>
    </row>
    <row r="714" spans="1:8">
      <c r="A714" s="27">
        <v>45224</v>
      </c>
      <c r="B714" s="23" t="s">
        <v>1537</v>
      </c>
      <c r="C714" s="23" t="s">
        <v>2552</v>
      </c>
      <c r="D714" s="23" t="s">
        <v>3662</v>
      </c>
      <c r="E714" s="23" t="s">
        <v>1518</v>
      </c>
      <c r="F714" s="23">
        <v>18</v>
      </c>
      <c r="G714" s="23">
        <v>4888.0200000000004</v>
      </c>
      <c r="H714" s="23">
        <v>87984.36</v>
      </c>
    </row>
    <row r="715" spans="1:8">
      <c r="A715" s="27">
        <v>44978</v>
      </c>
      <c r="B715" s="23" t="s">
        <v>1535</v>
      </c>
      <c r="C715" s="23" t="s">
        <v>2548</v>
      </c>
      <c r="D715" s="23" t="s">
        <v>3664</v>
      </c>
      <c r="E715" s="23" t="s">
        <v>1514</v>
      </c>
      <c r="F715" s="23">
        <v>17</v>
      </c>
      <c r="G715" s="23">
        <v>2107.36</v>
      </c>
      <c r="H715" s="23">
        <v>35825.120000000003</v>
      </c>
    </row>
    <row r="716" spans="1:8">
      <c r="A716" s="27">
        <v>44994</v>
      </c>
      <c r="B716" s="23" t="s">
        <v>1538</v>
      </c>
      <c r="C716" s="23" t="s">
        <v>2551</v>
      </c>
      <c r="D716" s="23" t="s">
        <v>3669</v>
      </c>
      <c r="E716" s="23" t="s">
        <v>1514</v>
      </c>
      <c r="F716" s="23">
        <v>4</v>
      </c>
      <c r="G716" s="23">
        <v>1181.3900000000001</v>
      </c>
      <c r="H716" s="23">
        <v>4725.5600000000004</v>
      </c>
    </row>
    <row r="717" spans="1:8">
      <c r="A717" s="27">
        <v>45148</v>
      </c>
      <c r="B717" s="23" t="s">
        <v>1537</v>
      </c>
      <c r="C717" s="23" t="s">
        <v>2552</v>
      </c>
      <c r="D717" s="23" t="s">
        <v>3655</v>
      </c>
      <c r="E717" s="23" t="s">
        <v>1517</v>
      </c>
      <c r="F717" s="23">
        <v>1</v>
      </c>
      <c r="G717" s="23">
        <v>3374.31</v>
      </c>
      <c r="H717" s="23">
        <v>3374.31</v>
      </c>
    </row>
    <row r="718" spans="1:8">
      <c r="A718" s="27">
        <v>44975</v>
      </c>
      <c r="B718" s="23" t="s">
        <v>1538</v>
      </c>
      <c r="C718" s="23" t="s">
        <v>2551</v>
      </c>
      <c r="D718" s="23" t="s">
        <v>3659</v>
      </c>
      <c r="E718" s="23" t="s">
        <v>1516</v>
      </c>
      <c r="F718" s="23">
        <v>19</v>
      </c>
      <c r="G718" s="23">
        <v>609.63</v>
      </c>
      <c r="H718" s="23">
        <v>11582.97</v>
      </c>
    </row>
    <row r="719" spans="1:8">
      <c r="A719" s="27">
        <v>45164</v>
      </c>
      <c r="B719" s="23" t="s">
        <v>1535</v>
      </c>
      <c r="C719" s="23" t="s">
        <v>2548</v>
      </c>
      <c r="D719" s="23" t="s">
        <v>3663</v>
      </c>
      <c r="E719" s="23" t="s">
        <v>1514</v>
      </c>
      <c r="F719" s="23">
        <v>11</v>
      </c>
      <c r="G719" s="23">
        <v>3538.83</v>
      </c>
      <c r="H719" s="23">
        <v>38927.129999999997</v>
      </c>
    </row>
    <row r="720" spans="1:8">
      <c r="A720" s="27">
        <v>45210</v>
      </c>
      <c r="B720" s="23" t="s">
        <v>1537</v>
      </c>
      <c r="C720" s="23" t="s">
        <v>2550</v>
      </c>
      <c r="D720" s="23" t="s">
        <v>3656</v>
      </c>
      <c r="E720" s="23" t="s">
        <v>3657</v>
      </c>
      <c r="F720" s="23">
        <v>16</v>
      </c>
      <c r="G720" s="23">
        <v>3155.43</v>
      </c>
      <c r="H720" s="23">
        <v>50486.879999999997</v>
      </c>
    </row>
    <row r="721" spans="1:8">
      <c r="A721" s="27">
        <v>44947</v>
      </c>
      <c r="B721" s="23" t="s">
        <v>1538</v>
      </c>
      <c r="C721" s="23" t="s">
        <v>2551</v>
      </c>
      <c r="D721" s="23" t="s">
        <v>3659</v>
      </c>
      <c r="E721" s="23" t="s">
        <v>1517</v>
      </c>
      <c r="F721" s="23">
        <v>6</v>
      </c>
      <c r="G721" s="23">
        <v>863.69</v>
      </c>
      <c r="H721" s="23">
        <v>5182.1400000000003</v>
      </c>
    </row>
    <row r="722" spans="1:8">
      <c r="A722" s="27">
        <v>45282</v>
      </c>
      <c r="B722" s="23" t="s">
        <v>1538</v>
      </c>
      <c r="C722" s="23" t="s">
        <v>2551</v>
      </c>
      <c r="D722" s="23" t="s">
        <v>3668</v>
      </c>
      <c r="E722" s="23" t="s">
        <v>1514</v>
      </c>
      <c r="F722" s="23">
        <v>4</v>
      </c>
      <c r="G722" s="23">
        <v>1128.8900000000001</v>
      </c>
      <c r="H722" s="23">
        <v>4515.5600000000004</v>
      </c>
    </row>
    <row r="723" spans="1:8">
      <c r="A723" s="27">
        <v>45100</v>
      </c>
      <c r="B723" s="23" t="s">
        <v>1535</v>
      </c>
      <c r="C723" s="23" t="s">
        <v>2548</v>
      </c>
      <c r="D723" s="23" t="s">
        <v>3664</v>
      </c>
      <c r="E723" s="23" t="s">
        <v>1514</v>
      </c>
      <c r="F723" s="23">
        <v>8</v>
      </c>
      <c r="G723" s="23">
        <v>4197.6400000000003</v>
      </c>
      <c r="H723" s="23">
        <v>33581.120000000003</v>
      </c>
    </row>
    <row r="724" spans="1:8">
      <c r="A724" s="27">
        <v>44993</v>
      </c>
      <c r="B724" s="23" t="s">
        <v>1537</v>
      </c>
      <c r="C724" s="23" t="s">
        <v>2550</v>
      </c>
      <c r="D724" s="23" t="s">
        <v>3661</v>
      </c>
      <c r="E724" s="23" t="s">
        <v>3657</v>
      </c>
      <c r="F724" s="23">
        <v>11</v>
      </c>
      <c r="G724" s="23">
        <v>3561.4</v>
      </c>
      <c r="H724" s="23">
        <v>39175.4</v>
      </c>
    </row>
    <row r="725" spans="1:8">
      <c r="A725" s="27">
        <v>45141</v>
      </c>
      <c r="B725" s="23" t="s">
        <v>1538</v>
      </c>
      <c r="C725" s="23" t="s">
        <v>2551</v>
      </c>
      <c r="D725" s="23" t="s">
        <v>3669</v>
      </c>
      <c r="E725" s="23" t="s">
        <v>3657</v>
      </c>
      <c r="F725" s="23">
        <v>16</v>
      </c>
      <c r="G725" s="23">
        <v>3836.1</v>
      </c>
      <c r="H725" s="23">
        <v>61377.599999999999</v>
      </c>
    </row>
    <row r="726" spans="1:8">
      <c r="A726" s="27">
        <v>45121</v>
      </c>
      <c r="B726" s="23" t="s">
        <v>1535</v>
      </c>
      <c r="C726" s="23" t="s">
        <v>2548</v>
      </c>
      <c r="D726" s="23" t="s">
        <v>3663</v>
      </c>
      <c r="E726" s="23" t="s">
        <v>3657</v>
      </c>
      <c r="F726" s="23">
        <v>18</v>
      </c>
      <c r="G726" s="23">
        <v>3943.82</v>
      </c>
      <c r="H726" s="23">
        <v>70988.759999999995</v>
      </c>
    </row>
    <row r="727" spans="1:8">
      <c r="A727" s="27">
        <v>45118</v>
      </c>
      <c r="B727" s="23" t="s">
        <v>1535</v>
      </c>
      <c r="C727" s="23" t="s">
        <v>2548</v>
      </c>
      <c r="D727" s="23" t="s">
        <v>3664</v>
      </c>
      <c r="E727" s="23" t="s">
        <v>1514</v>
      </c>
      <c r="F727" s="23">
        <v>15</v>
      </c>
      <c r="G727" s="23">
        <v>3005.08</v>
      </c>
      <c r="H727" s="23">
        <v>45076.2</v>
      </c>
    </row>
    <row r="728" spans="1:8">
      <c r="A728" s="27">
        <v>45070</v>
      </c>
      <c r="B728" s="23" t="s">
        <v>1537</v>
      </c>
      <c r="C728" s="23" t="s">
        <v>2552</v>
      </c>
      <c r="D728" s="23" t="s">
        <v>3655</v>
      </c>
      <c r="E728" s="23" t="s">
        <v>1516</v>
      </c>
      <c r="F728" s="23">
        <v>17</v>
      </c>
      <c r="G728" s="23">
        <v>3342.49</v>
      </c>
      <c r="H728" s="23">
        <v>56822.33</v>
      </c>
    </row>
    <row r="729" spans="1:8">
      <c r="A729" s="27">
        <v>45238</v>
      </c>
      <c r="B729" s="23" t="s">
        <v>1535</v>
      </c>
      <c r="C729" s="23" t="s">
        <v>2549</v>
      </c>
      <c r="D729" s="23" t="s">
        <v>3665</v>
      </c>
      <c r="E729" s="23" t="s">
        <v>1517</v>
      </c>
      <c r="F729" s="23">
        <v>11</v>
      </c>
      <c r="G729" s="23">
        <v>212.86</v>
      </c>
      <c r="H729" s="23">
        <v>2341.46</v>
      </c>
    </row>
    <row r="730" spans="1:8">
      <c r="A730" s="27">
        <v>45135</v>
      </c>
      <c r="B730" s="23" t="s">
        <v>1537</v>
      </c>
      <c r="C730" s="23" t="s">
        <v>2552</v>
      </c>
      <c r="D730" s="23" t="s">
        <v>3667</v>
      </c>
      <c r="E730" s="23" t="s">
        <v>1517</v>
      </c>
      <c r="F730" s="23">
        <v>6</v>
      </c>
      <c r="G730" s="23">
        <v>1872.18</v>
      </c>
      <c r="H730" s="23">
        <v>11233.08</v>
      </c>
    </row>
    <row r="731" spans="1:8">
      <c r="A731" s="27">
        <v>45095</v>
      </c>
      <c r="B731" s="23" t="s">
        <v>1535</v>
      </c>
      <c r="C731" s="23" t="s">
        <v>2549</v>
      </c>
      <c r="D731" s="23" t="s">
        <v>3654</v>
      </c>
      <c r="E731" s="23" t="s">
        <v>1514</v>
      </c>
      <c r="F731" s="23">
        <v>14</v>
      </c>
      <c r="G731" s="23">
        <v>4428</v>
      </c>
      <c r="H731" s="23">
        <v>61992</v>
      </c>
    </row>
    <row r="732" spans="1:8">
      <c r="A732" s="27">
        <v>45057</v>
      </c>
      <c r="B732" s="23" t="s">
        <v>1537</v>
      </c>
      <c r="C732" s="23" t="s">
        <v>2550</v>
      </c>
      <c r="D732" s="23" t="s">
        <v>3656</v>
      </c>
      <c r="E732" s="23" t="s">
        <v>3657</v>
      </c>
      <c r="F732" s="23">
        <v>15</v>
      </c>
      <c r="G732" s="23">
        <v>2905.47</v>
      </c>
      <c r="H732" s="23">
        <v>43582.05</v>
      </c>
    </row>
    <row r="733" spans="1:8">
      <c r="A733" s="27">
        <v>44943</v>
      </c>
      <c r="B733" s="23" t="s">
        <v>1537</v>
      </c>
      <c r="C733" s="23" t="s">
        <v>2552</v>
      </c>
      <c r="D733" s="23" t="s">
        <v>3667</v>
      </c>
      <c r="E733" s="23" t="s">
        <v>1516</v>
      </c>
      <c r="F733" s="23">
        <v>14</v>
      </c>
      <c r="G733" s="23">
        <v>4200.9799999999996</v>
      </c>
      <c r="H733" s="23">
        <v>58813.72</v>
      </c>
    </row>
    <row r="734" spans="1:8">
      <c r="A734" s="27">
        <v>45029</v>
      </c>
      <c r="B734" s="23" t="s">
        <v>1535</v>
      </c>
      <c r="C734" s="23" t="s">
        <v>2549</v>
      </c>
      <c r="D734" s="23" t="s">
        <v>3665</v>
      </c>
      <c r="E734" s="23" t="s">
        <v>1518</v>
      </c>
      <c r="F734" s="23">
        <v>19</v>
      </c>
      <c r="G734" s="23">
        <v>3927.27</v>
      </c>
      <c r="H734" s="23">
        <v>74618.13</v>
      </c>
    </row>
    <row r="735" spans="1:8">
      <c r="A735" s="27">
        <v>45012</v>
      </c>
      <c r="B735" s="23" t="s">
        <v>1538</v>
      </c>
      <c r="C735" s="23" t="s">
        <v>2551</v>
      </c>
      <c r="D735" s="23" t="s">
        <v>3669</v>
      </c>
      <c r="E735" s="23" t="s">
        <v>3657</v>
      </c>
      <c r="F735" s="23">
        <v>16</v>
      </c>
      <c r="G735" s="23">
        <v>3788.36</v>
      </c>
      <c r="H735" s="23">
        <v>60613.760000000002</v>
      </c>
    </row>
    <row r="736" spans="1:8">
      <c r="A736" s="27">
        <v>45219</v>
      </c>
      <c r="B736" s="23" t="s">
        <v>1538</v>
      </c>
      <c r="C736" s="23" t="s">
        <v>2551</v>
      </c>
      <c r="D736" s="23" t="s">
        <v>3659</v>
      </c>
      <c r="E736" s="23" t="s">
        <v>1518</v>
      </c>
      <c r="F736" s="23">
        <v>2</v>
      </c>
      <c r="G736" s="23">
        <v>4527.13</v>
      </c>
      <c r="H736" s="23">
        <v>9054.26</v>
      </c>
    </row>
    <row r="737" spans="1:8">
      <c r="A737" s="27">
        <v>45091</v>
      </c>
      <c r="B737" s="23" t="s">
        <v>1538</v>
      </c>
      <c r="C737" s="23" t="s">
        <v>2551</v>
      </c>
      <c r="D737" s="23" t="s">
        <v>3669</v>
      </c>
      <c r="E737" s="23" t="s">
        <v>1517</v>
      </c>
      <c r="F737" s="23">
        <v>20</v>
      </c>
      <c r="G737" s="23">
        <v>3753.15</v>
      </c>
      <c r="H737" s="23">
        <v>75063</v>
      </c>
    </row>
    <row r="738" spans="1:8">
      <c r="A738" s="27">
        <v>45144</v>
      </c>
      <c r="B738" s="23" t="s">
        <v>1535</v>
      </c>
      <c r="C738" s="23" t="s">
        <v>2549</v>
      </c>
      <c r="D738" s="23" t="s">
        <v>3654</v>
      </c>
      <c r="E738" s="23" t="s">
        <v>1518</v>
      </c>
      <c r="F738" s="23">
        <v>6</v>
      </c>
      <c r="G738" s="23">
        <v>3363.77</v>
      </c>
      <c r="H738" s="23">
        <v>20182.62</v>
      </c>
    </row>
    <row r="739" spans="1:8">
      <c r="A739" s="27">
        <v>45172</v>
      </c>
      <c r="B739" s="23" t="s">
        <v>1538</v>
      </c>
      <c r="C739" s="23" t="s">
        <v>2551</v>
      </c>
      <c r="D739" s="23" t="s">
        <v>3659</v>
      </c>
      <c r="E739" s="23" t="s">
        <v>1518</v>
      </c>
      <c r="F739" s="23">
        <v>12</v>
      </c>
      <c r="G739" s="23">
        <v>1973.14</v>
      </c>
      <c r="H739" s="23">
        <v>23677.68</v>
      </c>
    </row>
    <row r="740" spans="1:8">
      <c r="A740" s="27">
        <v>44993</v>
      </c>
      <c r="B740" s="23" t="s">
        <v>1535</v>
      </c>
      <c r="C740" s="23" t="s">
        <v>2548</v>
      </c>
      <c r="D740" s="23" t="s">
        <v>3663</v>
      </c>
      <c r="E740" s="23" t="s">
        <v>1518</v>
      </c>
      <c r="F740" s="23">
        <v>16</v>
      </c>
      <c r="G740" s="23">
        <v>355.63</v>
      </c>
      <c r="H740" s="23">
        <v>5690.08</v>
      </c>
    </row>
    <row r="741" spans="1:8">
      <c r="A741" s="27">
        <v>45101</v>
      </c>
      <c r="B741" s="23" t="s">
        <v>1538</v>
      </c>
      <c r="C741" s="23" t="s">
        <v>2551</v>
      </c>
      <c r="D741" s="23" t="s">
        <v>3668</v>
      </c>
      <c r="E741" s="23" t="s">
        <v>1518</v>
      </c>
      <c r="F741" s="23">
        <v>7</v>
      </c>
      <c r="G741" s="23">
        <v>4243.95</v>
      </c>
      <c r="H741" s="23">
        <v>29707.65</v>
      </c>
    </row>
    <row r="742" spans="1:8">
      <c r="A742" s="27">
        <v>45004</v>
      </c>
      <c r="B742" s="23" t="s">
        <v>1538</v>
      </c>
      <c r="C742" s="23" t="s">
        <v>2551</v>
      </c>
      <c r="D742" s="23" t="s">
        <v>3669</v>
      </c>
      <c r="E742" s="23" t="s">
        <v>1517</v>
      </c>
      <c r="F742" s="23">
        <v>15</v>
      </c>
      <c r="G742" s="23">
        <v>3256.2</v>
      </c>
      <c r="H742" s="23">
        <v>48843</v>
      </c>
    </row>
    <row r="743" spans="1:8">
      <c r="A743" s="27">
        <v>45065</v>
      </c>
      <c r="B743" s="23" t="s">
        <v>1535</v>
      </c>
      <c r="C743" s="23" t="s">
        <v>2548</v>
      </c>
      <c r="D743" s="23" t="s">
        <v>3664</v>
      </c>
      <c r="E743" s="23" t="s">
        <v>1514</v>
      </c>
      <c r="F743" s="23">
        <v>13</v>
      </c>
      <c r="G743" s="23">
        <v>4076.94</v>
      </c>
      <c r="H743" s="23">
        <v>53000.22</v>
      </c>
    </row>
    <row r="744" spans="1:8">
      <c r="A744" s="27">
        <v>45023</v>
      </c>
      <c r="B744" s="23" t="s">
        <v>1537</v>
      </c>
      <c r="C744" s="23" t="s">
        <v>2550</v>
      </c>
      <c r="D744" s="23" t="s">
        <v>3661</v>
      </c>
      <c r="E744" s="23" t="s">
        <v>1518</v>
      </c>
      <c r="F744" s="23">
        <v>17</v>
      </c>
      <c r="G744" s="23">
        <v>3771.79</v>
      </c>
      <c r="H744" s="23">
        <v>64120.43</v>
      </c>
    </row>
    <row r="745" spans="1:8">
      <c r="A745" s="27">
        <v>45114</v>
      </c>
      <c r="B745" s="23" t="s">
        <v>1537</v>
      </c>
      <c r="C745" s="23" t="s">
        <v>2552</v>
      </c>
      <c r="D745" s="23" t="s">
        <v>3655</v>
      </c>
      <c r="E745" s="23" t="s">
        <v>1518</v>
      </c>
      <c r="F745" s="23">
        <v>7</v>
      </c>
      <c r="G745" s="23">
        <v>2016.03</v>
      </c>
      <c r="H745" s="23">
        <v>14112.21</v>
      </c>
    </row>
    <row r="746" spans="1:8">
      <c r="A746" s="27">
        <v>45204</v>
      </c>
      <c r="B746" s="23" t="s">
        <v>1535</v>
      </c>
      <c r="C746" s="23" t="s">
        <v>2548</v>
      </c>
      <c r="D746" s="23" t="s">
        <v>3663</v>
      </c>
      <c r="E746" s="23" t="s">
        <v>3657</v>
      </c>
      <c r="F746" s="23">
        <v>9</v>
      </c>
      <c r="G746" s="23">
        <v>722.4</v>
      </c>
      <c r="H746" s="23">
        <v>6501.6</v>
      </c>
    </row>
    <row r="747" spans="1:8">
      <c r="A747" s="27">
        <v>45018</v>
      </c>
      <c r="B747" s="23" t="s">
        <v>1537</v>
      </c>
      <c r="C747" s="23" t="s">
        <v>2552</v>
      </c>
      <c r="D747" s="23" t="s">
        <v>3655</v>
      </c>
      <c r="E747" s="23" t="s">
        <v>1518</v>
      </c>
      <c r="F747" s="23">
        <v>5</v>
      </c>
      <c r="G747" s="23">
        <v>491.78</v>
      </c>
      <c r="H747" s="23">
        <v>2458.9</v>
      </c>
    </row>
    <row r="748" spans="1:8">
      <c r="A748" s="27">
        <v>44977</v>
      </c>
      <c r="B748" s="23" t="s">
        <v>1535</v>
      </c>
      <c r="C748" s="23" t="s">
        <v>2548</v>
      </c>
      <c r="D748" s="23" t="s">
        <v>3663</v>
      </c>
      <c r="E748" s="23" t="s">
        <v>1516</v>
      </c>
      <c r="F748" s="23">
        <v>19</v>
      </c>
      <c r="G748" s="23">
        <v>2146.17</v>
      </c>
      <c r="H748" s="23">
        <v>40777.230000000003</v>
      </c>
    </row>
    <row r="749" spans="1:8">
      <c r="A749" s="27">
        <v>45070</v>
      </c>
      <c r="B749" s="23" t="s">
        <v>1535</v>
      </c>
      <c r="C749" s="23" t="s">
        <v>2548</v>
      </c>
      <c r="D749" s="23" t="s">
        <v>3663</v>
      </c>
      <c r="E749" s="23" t="s">
        <v>1517</v>
      </c>
      <c r="F749" s="23">
        <v>14</v>
      </c>
      <c r="G749" s="23">
        <v>2715.54</v>
      </c>
      <c r="H749" s="23">
        <v>38017.56</v>
      </c>
    </row>
    <row r="750" spans="1:8">
      <c r="A750" s="27">
        <v>45026</v>
      </c>
      <c r="B750" s="23" t="s">
        <v>1535</v>
      </c>
      <c r="C750" s="23" t="s">
        <v>2549</v>
      </c>
      <c r="D750" s="23" t="s">
        <v>3654</v>
      </c>
      <c r="E750" s="23" t="s">
        <v>1514</v>
      </c>
      <c r="F750" s="23">
        <v>11</v>
      </c>
      <c r="G750" s="23">
        <v>1708.99</v>
      </c>
      <c r="H750" s="23">
        <v>18798.89</v>
      </c>
    </row>
    <row r="751" spans="1:8">
      <c r="A751" s="27">
        <v>44969</v>
      </c>
      <c r="B751" s="23" t="s">
        <v>1535</v>
      </c>
      <c r="C751" s="23" t="s">
        <v>2548</v>
      </c>
      <c r="D751" s="23" t="s">
        <v>3663</v>
      </c>
      <c r="E751" s="23" t="s">
        <v>1517</v>
      </c>
      <c r="F751" s="23">
        <v>1</v>
      </c>
      <c r="G751" s="23">
        <v>1898.15</v>
      </c>
      <c r="H751" s="23">
        <v>1898.15</v>
      </c>
    </row>
    <row r="752" spans="1:8">
      <c r="A752" s="27">
        <v>45213</v>
      </c>
      <c r="B752" s="23" t="s">
        <v>1537</v>
      </c>
      <c r="C752" s="23" t="s">
        <v>2550</v>
      </c>
      <c r="D752" s="23" t="s">
        <v>3658</v>
      </c>
      <c r="E752" s="23" t="s">
        <v>1518</v>
      </c>
      <c r="F752" s="23">
        <v>1</v>
      </c>
      <c r="G752" s="23">
        <v>648.88</v>
      </c>
      <c r="H752" s="23">
        <v>648.88</v>
      </c>
    </row>
    <row r="753" spans="1:8">
      <c r="A753" s="27">
        <v>45284</v>
      </c>
      <c r="B753" s="23" t="s">
        <v>1537</v>
      </c>
      <c r="C753" s="23" t="s">
        <v>2552</v>
      </c>
      <c r="D753" s="23" t="s">
        <v>3655</v>
      </c>
      <c r="E753" s="23" t="s">
        <v>1518</v>
      </c>
      <c r="F753" s="23">
        <v>8</v>
      </c>
      <c r="G753" s="23">
        <v>4516.82</v>
      </c>
      <c r="H753" s="23">
        <v>36134.559999999998</v>
      </c>
    </row>
    <row r="754" spans="1:8">
      <c r="A754" s="27">
        <v>45254</v>
      </c>
      <c r="B754" s="23" t="s">
        <v>1538</v>
      </c>
      <c r="C754" s="23" t="s">
        <v>2551</v>
      </c>
      <c r="D754" s="23" t="s">
        <v>3669</v>
      </c>
      <c r="E754" s="23" t="s">
        <v>1516</v>
      </c>
      <c r="F754" s="23">
        <v>7</v>
      </c>
      <c r="G754" s="23">
        <v>1102.48</v>
      </c>
      <c r="H754" s="23">
        <v>7717.36</v>
      </c>
    </row>
    <row r="755" spans="1:8">
      <c r="A755" s="27">
        <v>45076</v>
      </c>
      <c r="B755" s="23" t="s">
        <v>1537</v>
      </c>
      <c r="C755" s="23" t="s">
        <v>2550</v>
      </c>
      <c r="D755" s="23" t="s">
        <v>3658</v>
      </c>
      <c r="E755" s="23" t="s">
        <v>1518</v>
      </c>
      <c r="F755" s="23">
        <v>4</v>
      </c>
      <c r="G755" s="23">
        <v>2830.6</v>
      </c>
      <c r="H755" s="23">
        <v>11322.4</v>
      </c>
    </row>
    <row r="756" spans="1:8">
      <c r="A756" s="27">
        <v>45159</v>
      </c>
      <c r="B756" s="23" t="s">
        <v>1537</v>
      </c>
      <c r="C756" s="23" t="s">
        <v>2552</v>
      </c>
      <c r="D756" s="23" t="s">
        <v>3667</v>
      </c>
      <c r="E756" s="23" t="s">
        <v>1514</v>
      </c>
      <c r="F756" s="23">
        <v>9</v>
      </c>
      <c r="G756" s="23">
        <v>515.97</v>
      </c>
      <c r="H756" s="23">
        <v>4643.7299999999996</v>
      </c>
    </row>
    <row r="757" spans="1:8">
      <c r="A757" s="27">
        <v>44945</v>
      </c>
      <c r="B757" s="23" t="s">
        <v>1538</v>
      </c>
      <c r="C757" s="23" t="s">
        <v>2551</v>
      </c>
      <c r="D757" s="23" t="s">
        <v>3659</v>
      </c>
      <c r="E757" s="23" t="s">
        <v>1514</v>
      </c>
      <c r="F757" s="23">
        <v>8</v>
      </c>
      <c r="G757" s="23">
        <v>2019.04</v>
      </c>
      <c r="H757" s="23">
        <v>16152.32</v>
      </c>
    </row>
    <row r="758" spans="1:8">
      <c r="A758" s="27">
        <v>45016</v>
      </c>
      <c r="B758" s="23" t="s">
        <v>1535</v>
      </c>
      <c r="C758" s="23" t="s">
        <v>2549</v>
      </c>
      <c r="D758" s="23" t="s">
        <v>3665</v>
      </c>
      <c r="E758" s="23" t="s">
        <v>3657</v>
      </c>
      <c r="F758" s="23">
        <v>1</v>
      </c>
      <c r="G758" s="23">
        <v>1889.5</v>
      </c>
      <c r="H758" s="23">
        <v>1889.5</v>
      </c>
    </row>
    <row r="759" spans="1:8">
      <c r="A759" s="27">
        <v>45096</v>
      </c>
      <c r="B759" s="23" t="s">
        <v>1535</v>
      </c>
      <c r="C759" s="23" t="s">
        <v>2549</v>
      </c>
      <c r="D759" s="23" t="s">
        <v>3654</v>
      </c>
      <c r="E759" s="23" t="s">
        <v>1514</v>
      </c>
      <c r="F759" s="23">
        <v>2</v>
      </c>
      <c r="G759" s="23">
        <v>3239.94</v>
      </c>
      <c r="H759" s="23">
        <v>6479.88</v>
      </c>
    </row>
    <row r="760" spans="1:8">
      <c r="A760" s="27">
        <v>44946</v>
      </c>
      <c r="B760" s="23" t="s">
        <v>1537</v>
      </c>
      <c r="C760" s="23" t="s">
        <v>2550</v>
      </c>
      <c r="D760" s="23" t="s">
        <v>3661</v>
      </c>
      <c r="E760" s="23" t="s">
        <v>1518</v>
      </c>
      <c r="F760" s="23">
        <v>11</v>
      </c>
      <c r="G760" s="23">
        <v>2426.48</v>
      </c>
      <c r="H760" s="23">
        <v>26691.279999999999</v>
      </c>
    </row>
    <row r="761" spans="1:8">
      <c r="A761" s="27">
        <v>45275</v>
      </c>
      <c r="B761" s="23" t="s">
        <v>1537</v>
      </c>
      <c r="C761" s="23" t="s">
        <v>2552</v>
      </c>
      <c r="D761" s="23" t="s">
        <v>3655</v>
      </c>
      <c r="E761" s="23" t="s">
        <v>3657</v>
      </c>
      <c r="F761" s="23">
        <v>3</v>
      </c>
      <c r="G761" s="23">
        <v>1043.3900000000001</v>
      </c>
      <c r="H761" s="23">
        <v>3130.17</v>
      </c>
    </row>
    <row r="762" spans="1:8">
      <c r="A762" s="27">
        <v>44959</v>
      </c>
      <c r="B762" s="23" t="s">
        <v>1535</v>
      </c>
      <c r="C762" s="23" t="s">
        <v>2548</v>
      </c>
      <c r="D762" s="23" t="s">
        <v>3666</v>
      </c>
      <c r="E762" s="23" t="s">
        <v>1514</v>
      </c>
      <c r="F762" s="23">
        <v>6</v>
      </c>
      <c r="G762" s="23">
        <v>3350.51</v>
      </c>
      <c r="H762" s="23">
        <v>20103.060000000001</v>
      </c>
    </row>
    <row r="763" spans="1:8">
      <c r="A763" s="27">
        <v>44934</v>
      </c>
      <c r="B763" s="23" t="s">
        <v>1535</v>
      </c>
      <c r="C763" s="23" t="s">
        <v>2548</v>
      </c>
      <c r="D763" s="23" t="s">
        <v>3666</v>
      </c>
      <c r="E763" s="23" t="s">
        <v>1518</v>
      </c>
      <c r="F763" s="23">
        <v>11</v>
      </c>
      <c r="G763" s="23">
        <v>1278.32</v>
      </c>
      <c r="H763" s="23">
        <v>14061.52</v>
      </c>
    </row>
    <row r="764" spans="1:8">
      <c r="A764" s="27">
        <v>44974</v>
      </c>
      <c r="B764" s="23" t="s">
        <v>1535</v>
      </c>
      <c r="C764" s="23" t="s">
        <v>2548</v>
      </c>
      <c r="D764" s="23" t="s">
        <v>3666</v>
      </c>
      <c r="E764" s="23" t="s">
        <v>1517</v>
      </c>
      <c r="F764" s="23">
        <v>20</v>
      </c>
      <c r="G764" s="23">
        <v>1353.54</v>
      </c>
      <c r="H764" s="23">
        <v>27070.799999999999</v>
      </c>
    </row>
    <row r="765" spans="1:8">
      <c r="A765" s="27">
        <v>44955</v>
      </c>
      <c r="B765" s="23" t="s">
        <v>1535</v>
      </c>
      <c r="C765" s="23" t="s">
        <v>2549</v>
      </c>
      <c r="D765" s="23" t="s">
        <v>3660</v>
      </c>
      <c r="E765" s="23" t="s">
        <v>1514</v>
      </c>
      <c r="F765" s="23">
        <v>17</v>
      </c>
      <c r="G765" s="23">
        <v>1457.07</v>
      </c>
      <c r="H765" s="23">
        <v>24770.19</v>
      </c>
    </row>
    <row r="766" spans="1:8">
      <c r="A766" s="27">
        <v>45127</v>
      </c>
      <c r="B766" s="23" t="s">
        <v>1537</v>
      </c>
      <c r="C766" s="23" t="s">
        <v>2552</v>
      </c>
      <c r="D766" s="23" t="s">
        <v>3667</v>
      </c>
      <c r="E766" s="23" t="s">
        <v>1514</v>
      </c>
      <c r="F766" s="23">
        <v>14</v>
      </c>
      <c r="G766" s="23">
        <v>4894.84</v>
      </c>
      <c r="H766" s="23">
        <v>68527.759999999995</v>
      </c>
    </row>
    <row r="767" spans="1:8">
      <c r="A767" s="27">
        <v>45182</v>
      </c>
      <c r="B767" s="23" t="s">
        <v>1537</v>
      </c>
      <c r="C767" s="23" t="s">
        <v>2550</v>
      </c>
      <c r="D767" s="23" t="s">
        <v>3658</v>
      </c>
      <c r="E767" s="23" t="s">
        <v>3657</v>
      </c>
      <c r="F767" s="23">
        <v>8</v>
      </c>
      <c r="G767" s="23">
        <v>4651.3</v>
      </c>
      <c r="H767" s="23">
        <v>37210.400000000001</v>
      </c>
    </row>
    <row r="768" spans="1:8">
      <c r="A768" s="27">
        <v>45288</v>
      </c>
      <c r="B768" s="23" t="s">
        <v>1535</v>
      </c>
      <c r="C768" s="23" t="s">
        <v>2549</v>
      </c>
      <c r="D768" s="23" t="s">
        <v>3665</v>
      </c>
      <c r="E768" s="23" t="s">
        <v>1518</v>
      </c>
      <c r="F768" s="23">
        <v>1</v>
      </c>
      <c r="G768" s="23">
        <v>1520.22</v>
      </c>
      <c r="H768" s="23">
        <v>1520.22</v>
      </c>
    </row>
    <row r="769" spans="1:8">
      <c r="A769" s="27">
        <v>45199</v>
      </c>
      <c r="B769" s="23" t="s">
        <v>1537</v>
      </c>
      <c r="C769" s="23" t="s">
        <v>2552</v>
      </c>
      <c r="D769" s="23" t="s">
        <v>3662</v>
      </c>
      <c r="E769" s="23" t="s">
        <v>1518</v>
      </c>
      <c r="F769" s="23">
        <v>1</v>
      </c>
      <c r="G769" s="23">
        <v>3754.28</v>
      </c>
      <c r="H769" s="23">
        <v>3754.28</v>
      </c>
    </row>
    <row r="770" spans="1:8">
      <c r="A770" s="27">
        <v>45068</v>
      </c>
      <c r="B770" s="23" t="s">
        <v>1537</v>
      </c>
      <c r="C770" s="23" t="s">
        <v>2550</v>
      </c>
      <c r="D770" s="23" t="s">
        <v>3658</v>
      </c>
      <c r="E770" s="23" t="s">
        <v>1517</v>
      </c>
      <c r="F770" s="23">
        <v>17</v>
      </c>
      <c r="G770" s="23">
        <v>947.7</v>
      </c>
      <c r="H770" s="23">
        <v>16110.9</v>
      </c>
    </row>
    <row r="771" spans="1:8">
      <c r="A771" s="27">
        <v>45181</v>
      </c>
      <c r="B771" s="23" t="s">
        <v>1537</v>
      </c>
      <c r="C771" s="23" t="s">
        <v>2552</v>
      </c>
      <c r="D771" s="23" t="s">
        <v>3667</v>
      </c>
      <c r="E771" s="23" t="s">
        <v>3657</v>
      </c>
      <c r="F771" s="23">
        <v>6</v>
      </c>
      <c r="G771" s="23">
        <v>2207.64</v>
      </c>
      <c r="H771" s="23">
        <v>13245.84</v>
      </c>
    </row>
    <row r="772" spans="1:8">
      <c r="A772" s="27">
        <v>44936</v>
      </c>
      <c r="B772" s="23" t="s">
        <v>1535</v>
      </c>
      <c r="C772" s="23" t="s">
        <v>2549</v>
      </c>
      <c r="D772" s="23" t="s">
        <v>3665</v>
      </c>
      <c r="E772" s="23" t="s">
        <v>3657</v>
      </c>
      <c r="F772" s="23">
        <v>8</v>
      </c>
      <c r="G772" s="23">
        <v>4146.82</v>
      </c>
      <c r="H772" s="23">
        <v>33174.559999999998</v>
      </c>
    </row>
    <row r="773" spans="1:8">
      <c r="A773" s="27">
        <v>44962</v>
      </c>
      <c r="B773" s="23" t="s">
        <v>1537</v>
      </c>
      <c r="C773" s="23" t="s">
        <v>2550</v>
      </c>
      <c r="D773" s="23" t="s">
        <v>3661</v>
      </c>
      <c r="E773" s="23" t="s">
        <v>1518</v>
      </c>
      <c r="F773" s="23">
        <v>14</v>
      </c>
      <c r="G773" s="23">
        <v>1273.8399999999999</v>
      </c>
      <c r="H773" s="23">
        <v>17833.759999999998</v>
      </c>
    </row>
    <row r="774" spans="1:8">
      <c r="A774" s="27">
        <v>44978</v>
      </c>
      <c r="B774" s="23" t="s">
        <v>1537</v>
      </c>
      <c r="C774" s="23" t="s">
        <v>2550</v>
      </c>
      <c r="D774" s="23" t="s">
        <v>3661</v>
      </c>
      <c r="E774" s="23" t="s">
        <v>3657</v>
      </c>
      <c r="F774" s="23">
        <v>4</v>
      </c>
      <c r="G774" s="23">
        <v>4878.16</v>
      </c>
      <c r="H774" s="23">
        <v>19512.64</v>
      </c>
    </row>
    <row r="775" spans="1:8">
      <c r="A775" s="27">
        <v>45035</v>
      </c>
      <c r="B775" s="23" t="s">
        <v>1535</v>
      </c>
      <c r="C775" s="23" t="s">
        <v>2548</v>
      </c>
      <c r="D775" s="23" t="s">
        <v>3666</v>
      </c>
      <c r="E775" s="23" t="s">
        <v>1518</v>
      </c>
      <c r="F775" s="23">
        <v>11</v>
      </c>
      <c r="G775" s="23">
        <v>3072.59</v>
      </c>
      <c r="H775" s="23">
        <v>33798.49</v>
      </c>
    </row>
    <row r="776" spans="1:8">
      <c r="A776" s="27">
        <v>45191</v>
      </c>
      <c r="B776" s="23" t="s">
        <v>1537</v>
      </c>
      <c r="C776" s="23" t="s">
        <v>2552</v>
      </c>
      <c r="D776" s="23" t="s">
        <v>3667</v>
      </c>
      <c r="E776" s="23" t="s">
        <v>3657</v>
      </c>
      <c r="F776" s="23">
        <v>12</v>
      </c>
      <c r="G776" s="23">
        <v>549.84</v>
      </c>
      <c r="H776" s="23">
        <v>6598.08</v>
      </c>
    </row>
    <row r="777" spans="1:8">
      <c r="A777" s="27">
        <v>45260</v>
      </c>
      <c r="B777" s="23" t="s">
        <v>1537</v>
      </c>
      <c r="C777" s="23" t="s">
        <v>2552</v>
      </c>
      <c r="D777" s="23" t="s">
        <v>3662</v>
      </c>
      <c r="E777" s="23" t="s">
        <v>1517</v>
      </c>
      <c r="F777" s="23">
        <v>7</v>
      </c>
      <c r="G777" s="23">
        <v>3402.48</v>
      </c>
      <c r="H777" s="23">
        <v>23817.360000000001</v>
      </c>
    </row>
    <row r="778" spans="1:8">
      <c r="A778" s="27">
        <v>45288</v>
      </c>
      <c r="B778" s="23" t="s">
        <v>1537</v>
      </c>
      <c r="C778" s="23" t="s">
        <v>2552</v>
      </c>
      <c r="D778" s="23" t="s">
        <v>3662</v>
      </c>
      <c r="E778" s="23" t="s">
        <v>1514</v>
      </c>
      <c r="F778" s="23">
        <v>1</v>
      </c>
      <c r="G778" s="23">
        <v>979.17</v>
      </c>
      <c r="H778" s="23">
        <v>979.17</v>
      </c>
    </row>
    <row r="779" spans="1:8">
      <c r="A779" s="27">
        <v>45187</v>
      </c>
      <c r="B779" s="23" t="s">
        <v>1535</v>
      </c>
      <c r="C779" s="23" t="s">
        <v>2548</v>
      </c>
      <c r="D779" s="23" t="s">
        <v>3663</v>
      </c>
      <c r="E779" s="23" t="s">
        <v>1517</v>
      </c>
      <c r="F779" s="23">
        <v>14</v>
      </c>
      <c r="G779" s="23">
        <v>3433.55</v>
      </c>
      <c r="H779" s="23">
        <v>48069.7</v>
      </c>
    </row>
    <row r="780" spans="1:8">
      <c r="A780" s="27">
        <v>45067</v>
      </c>
      <c r="B780" s="23" t="s">
        <v>1537</v>
      </c>
      <c r="C780" s="23" t="s">
        <v>2552</v>
      </c>
      <c r="D780" s="23" t="s">
        <v>3662</v>
      </c>
      <c r="E780" s="23" t="s">
        <v>1516</v>
      </c>
      <c r="F780" s="23">
        <v>5</v>
      </c>
      <c r="G780" s="23">
        <v>1757.01</v>
      </c>
      <c r="H780" s="23">
        <v>8785.0499999999993</v>
      </c>
    </row>
    <row r="781" spans="1:8">
      <c r="A781" s="27">
        <v>45119</v>
      </c>
      <c r="B781" s="23" t="s">
        <v>1535</v>
      </c>
      <c r="C781" s="23" t="s">
        <v>2548</v>
      </c>
      <c r="D781" s="23" t="s">
        <v>3663</v>
      </c>
      <c r="E781" s="23" t="s">
        <v>3657</v>
      </c>
      <c r="F781" s="23">
        <v>16</v>
      </c>
      <c r="G781" s="23">
        <v>4858.3100000000004</v>
      </c>
      <c r="H781" s="23">
        <v>77732.960000000006</v>
      </c>
    </row>
    <row r="782" spans="1:8">
      <c r="A782" s="27">
        <v>45125</v>
      </c>
      <c r="B782" s="23" t="s">
        <v>1537</v>
      </c>
      <c r="C782" s="23" t="s">
        <v>2552</v>
      </c>
      <c r="D782" s="23" t="s">
        <v>3662</v>
      </c>
      <c r="E782" s="23" t="s">
        <v>1517</v>
      </c>
      <c r="F782" s="23">
        <v>8</v>
      </c>
      <c r="G782" s="23">
        <v>1366.18</v>
      </c>
      <c r="H782" s="23">
        <v>10929.44</v>
      </c>
    </row>
    <row r="783" spans="1:8">
      <c r="A783" s="27">
        <v>45052</v>
      </c>
      <c r="B783" s="23" t="s">
        <v>1537</v>
      </c>
      <c r="C783" s="23" t="s">
        <v>2550</v>
      </c>
      <c r="D783" s="23" t="s">
        <v>3661</v>
      </c>
      <c r="E783" s="23" t="s">
        <v>1516</v>
      </c>
      <c r="F783" s="23">
        <v>4</v>
      </c>
      <c r="G783" s="23">
        <v>2425.52</v>
      </c>
      <c r="H783" s="23">
        <v>9702.08</v>
      </c>
    </row>
    <row r="784" spans="1:8">
      <c r="A784" s="27">
        <v>45114</v>
      </c>
      <c r="B784" s="23" t="s">
        <v>1537</v>
      </c>
      <c r="C784" s="23" t="s">
        <v>2552</v>
      </c>
      <c r="D784" s="23" t="s">
        <v>3655</v>
      </c>
      <c r="E784" s="23" t="s">
        <v>1517</v>
      </c>
      <c r="F784" s="23">
        <v>19</v>
      </c>
      <c r="G784" s="23">
        <v>4421.6899999999996</v>
      </c>
      <c r="H784" s="23">
        <v>84012.11</v>
      </c>
    </row>
    <row r="785" spans="1:8">
      <c r="A785" s="27">
        <v>45001</v>
      </c>
      <c r="B785" s="23" t="s">
        <v>1537</v>
      </c>
      <c r="C785" s="23" t="s">
        <v>2550</v>
      </c>
      <c r="D785" s="23" t="s">
        <v>3658</v>
      </c>
      <c r="E785" s="23" t="s">
        <v>1518</v>
      </c>
      <c r="F785" s="23">
        <v>15</v>
      </c>
      <c r="G785" s="23">
        <v>4724.91</v>
      </c>
      <c r="H785" s="23">
        <v>70873.649999999994</v>
      </c>
    </row>
    <row r="786" spans="1:8">
      <c r="A786" s="27">
        <v>44959</v>
      </c>
      <c r="B786" s="23" t="s">
        <v>1535</v>
      </c>
      <c r="C786" s="23" t="s">
        <v>2548</v>
      </c>
      <c r="D786" s="23" t="s">
        <v>3666</v>
      </c>
      <c r="E786" s="23" t="s">
        <v>3657</v>
      </c>
      <c r="F786" s="23">
        <v>15</v>
      </c>
      <c r="G786" s="23">
        <v>3555.88</v>
      </c>
      <c r="H786" s="23">
        <v>53338.2</v>
      </c>
    </row>
    <row r="787" spans="1:8">
      <c r="A787" s="27">
        <v>45154</v>
      </c>
      <c r="B787" s="23" t="s">
        <v>1537</v>
      </c>
      <c r="C787" s="23" t="s">
        <v>2550</v>
      </c>
      <c r="D787" s="23" t="s">
        <v>3656</v>
      </c>
      <c r="E787" s="23" t="s">
        <v>1516</v>
      </c>
      <c r="F787" s="23">
        <v>12</v>
      </c>
      <c r="G787" s="23">
        <v>2557.5700000000002</v>
      </c>
      <c r="H787" s="23">
        <v>30690.84</v>
      </c>
    </row>
    <row r="788" spans="1:8">
      <c r="A788" s="27">
        <v>45140</v>
      </c>
      <c r="B788" s="23" t="s">
        <v>1535</v>
      </c>
      <c r="C788" s="23" t="s">
        <v>2548</v>
      </c>
      <c r="D788" s="23" t="s">
        <v>3664</v>
      </c>
      <c r="E788" s="23" t="s">
        <v>1516</v>
      </c>
      <c r="F788" s="23">
        <v>5</v>
      </c>
      <c r="G788" s="23">
        <v>1997.76</v>
      </c>
      <c r="H788" s="23">
        <v>9988.7999999999993</v>
      </c>
    </row>
    <row r="789" spans="1:8">
      <c r="A789" s="27">
        <v>45021</v>
      </c>
      <c r="B789" s="23" t="s">
        <v>1537</v>
      </c>
      <c r="C789" s="23" t="s">
        <v>2550</v>
      </c>
      <c r="D789" s="23" t="s">
        <v>3661</v>
      </c>
      <c r="E789" s="23" t="s">
        <v>1517</v>
      </c>
      <c r="F789" s="23">
        <v>9</v>
      </c>
      <c r="G789" s="23">
        <v>704.39</v>
      </c>
      <c r="H789" s="23">
        <v>6339.51</v>
      </c>
    </row>
    <row r="790" spans="1:8">
      <c r="A790" s="27">
        <v>45133</v>
      </c>
      <c r="B790" s="23" t="s">
        <v>1537</v>
      </c>
      <c r="C790" s="23" t="s">
        <v>2550</v>
      </c>
      <c r="D790" s="23" t="s">
        <v>3661</v>
      </c>
      <c r="E790" s="23" t="s">
        <v>1514</v>
      </c>
      <c r="F790" s="23">
        <v>20</v>
      </c>
      <c r="G790" s="23">
        <v>2446.31</v>
      </c>
      <c r="H790" s="23">
        <v>48926.2</v>
      </c>
    </row>
    <row r="791" spans="1:8">
      <c r="A791" s="27">
        <v>45180</v>
      </c>
      <c r="B791" s="23" t="s">
        <v>1535</v>
      </c>
      <c r="C791" s="23" t="s">
        <v>2549</v>
      </c>
      <c r="D791" s="23" t="s">
        <v>3660</v>
      </c>
      <c r="E791" s="23" t="s">
        <v>1516</v>
      </c>
      <c r="F791" s="23">
        <v>10</v>
      </c>
      <c r="G791" s="23">
        <v>2853.88</v>
      </c>
      <c r="H791" s="23">
        <v>28538.799999999999</v>
      </c>
    </row>
    <row r="792" spans="1:8">
      <c r="A792" s="27">
        <v>45012</v>
      </c>
      <c r="B792" s="23" t="s">
        <v>1535</v>
      </c>
      <c r="C792" s="23" t="s">
        <v>2548</v>
      </c>
      <c r="D792" s="23" t="s">
        <v>3666</v>
      </c>
      <c r="E792" s="23" t="s">
        <v>1518</v>
      </c>
      <c r="F792" s="23">
        <v>15</v>
      </c>
      <c r="G792" s="23">
        <v>1098.31</v>
      </c>
      <c r="H792" s="23">
        <v>16474.650000000001</v>
      </c>
    </row>
    <row r="793" spans="1:8">
      <c r="A793" s="27">
        <v>45139</v>
      </c>
      <c r="B793" s="23" t="s">
        <v>1537</v>
      </c>
      <c r="C793" s="23" t="s">
        <v>2550</v>
      </c>
      <c r="D793" s="23" t="s">
        <v>3658</v>
      </c>
      <c r="E793" s="23" t="s">
        <v>1517</v>
      </c>
      <c r="F793" s="23">
        <v>11</v>
      </c>
      <c r="G793" s="23">
        <v>968.17</v>
      </c>
      <c r="H793" s="23">
        <v>10649.87</v>
      </c>
    </row>
    <row r="794" spans="1:8">
      <c r="A794" s="27">
        <v>45035</v>
      </c>
      <c r="B794" s="23" t="s">
        <v>1538</v>
      </c>
      <c r="C794" s="23" t="s">
        <v>2551</v>
      </c>
      <c r="D794" s="23" t="s">
        <v>3669</v>
      </c>
      <c r="E794" s="23" t="s">
        <v>1517</v>
      </c>
      <c r="F794" s="23">
        <v>10</v>
      </c>
      <c r="G794" s="23">
        <v>373.54</v>
      </c>
      <c r="H794" s="23">
        <v>3735.4</v>
      </c>
    </row>
    <row r="795" spans="1:8">
      <c r="A795" s="27">
        <v>44960</v>
      </c>
      <c r="B795" s="23" t="s">
        <v>1538</v>
      </c>
      <c r="C795" s="23" t="s">
        <v>2551</v>
      </c>
      <c r="D795" s="23" t="s">
        <v>3668</v>
      </c>
      <c r="E795" s="23" t="s">
        <v>1516</v>
      </c>
      <c r="F795" s="23">
        <v>4</v>
      </c>
      <c r="G795" s="23">
        <v>1938.6</v>
      </c>
      <c r="H795" s="23">
        <v>7754.4</v>
      </c>
    </row>
    <row r="796" spans="1:8">
      <c r="A796" s="27">
        <v>45229</v>
      </c>
      <c r="B796" s="23" t="s">
        <v>1537</v>
      </c>
      <c r="C796" s="23" t="s">
        <v>2550</v>
      </c>
      <c r="D796" s="23" t="s">
        <v>3658</v>
      </c>
      <c r="E796" s="23" t="s">
        <v>1514</v>
      </c>
      <c r="F796" s="23">
        <v>9</v>
      </c>
      <c r="G796" s="23">
        <v>3643.26</v>
      </c>
      <c r="H796" s="23">
        <v>32789.339999999997</v>
      </c>
    </row>
    <row r="797" spans="1:8">
      <c r="A797" s="27">
        <v>45055</v>
      </c>
      <c r="B797" s="23" t="s">
        <v>1535</v>
      </c>
      <c r="C797" s="23" t="s">
        <v>2549</v>
      </c>
      <c r="D797" s="23" t="s">
        <v>3660</v>
      </c>
      <c r="E797" s="23" t="s">
        <v>1514</v>
      </c>
      <c r="F797" s="23">
        <v>19</v>
      </c>
      <c r="G797" s="23">
        <v>3374.33</v>
      </c>
      <c r="H797" s="23">
        <v>64112.27</v>
      </c>
    </row>
    <row r="798" spans="1:8">
      <c r="A798" s="27">
        <v>45224</v>
      </c>
      <c r="B798" s="23" t="s">
        <v>1538</v>
      </c>
      <c r="C798" s="23" t="s">
        <v>2551</v>
      </c>
      <c r="D798" s="23" t="s">
        <v>3669</v>
      </c>
      <c r="E798" s="23" t="s">
        <v>1517</v>
      </c>
      <c r="F798" s="23">
        <v>4</v>
      </c>
      <c r="G798" s="23">
        <v>700.07</v>
      </c>
      <c r="H798" s="23">
        <v>2800.28</v>
      </c>
    </row>
    <row r="799" spans="1:8">
      <c r="A799" s="27">
        <v>45187</v>
      </c>
      <c r="B799" s="23" t="s">
        <v>1537</v>
      </c>
      <c r="C799" s="23" t="s">
        <v>2552</v>
      </c>
      <c r="D799" s="23" t="s">
        <v>3662</v>
      </c>
      <c r="E799" s="23" t="s">
        <v>1514</v>
      </c>
      <c r="F799" s="23">
        <v>11</v>
      </c>
      <c r="G799" s="23">
        <v>2677.03</v>
      </c>
      <c r="H799" s="23">
        <v>29447.33</v>
      </c>
    </row>
    <row r="800" spans="1:8">
      <c r="A800" s="27">
        <v>45140</v>
      </c>
      <c r="B800" s="23" t="s">
        <v>1537</v>
      </c>
      <c r="C800" s="23" t="s">
        <v>2550</v>
      </c>
      <c r="D800" s="23" t="s">
        <v>3658</v>
      </c>
      <c r="E800" s="23" t="s">
        <v>1514</v>
      </c>
      <c r="F800" s="23">
        <v>13</v>
      </c>
      <c r="G800" s="23">
        <v>1220.76</v>
      </c>
      <c r="H800" s="23">
        <v>15869.88</v>
      </c>
    </row>
    <row r="801" spans="1:8">
      <c r="A801" s="27">
        <v>45099</v>
      </c>
      <c r="B801" s="23" t="s">
        <v>1535</v>
      </c>
      <c r="C801" s="23" t="s">
        <v>2549</v>
      </c>
      <c r="D801" s="23" t="s">
        <v>3660</v>
      </c>
      <c r="E801" s="23" t="s">
        <v>1518</v>
      </c>
      <c r="F801" s="23">
        <v>1</v>
      </c>
      <c r="G801" s="23">
        <v>4640.17</v>
      </c>
      <c r="H801" s="23">
        <v>4640.17</v>
      </c>
    </row>
    <row r="802" spans="1:8">
      <c r="A802" s="27">
        <v>44965</v>
      </c>
      <c r="B802" s="23" t="s">
        <v>1537</v>
      </c>
      <c r="C802" s="23" t="s">
        <v>2550</v>
      </c>
      <c r="D802" s="23" t="s">
        <v>3656</v>
      </c>
      <c r="E802" s="23" t="s">
        <v>3657</v>
      </c>
      <c r="F802" s="23">
        <v>12</v>
      </c>
      <c r="G802" s="23">
        <v>1608.11</v>
      </c>
      <c r="H802" s="23">
        <v>19297.32</v>
      </c>
    </row>
    <row r="803" spans="1:8">
      <c r="A803" s="27">
        <v>45218</v>
      </c>
      <c r="B803" s="23" t="s">
        <v>1535</v>
      </c>
      <c r="C803" s="23" t="s">
        <v>2549</v>
      </c>
      <c r="D803" s="23" t="s">
        <v>3660</v>
      </c>
      <c r="E803" s="23" t="s">
        <v>1514</v>
      </c>
      <c r="F803" s="23">
        <v>8</v>
      </c>
      <c r="G803" s="23">
        <v>3615.06</v>
      </c>
      <c r="H803" s="23">
        <v>28920.48</v>
      </c>
    </row>
    <row r="804" spans="1:8">
      <c r="A804" s="27">
        <v>45071</v>
      </c>
      <c r="B804" s="23" t="s">
        <v>1535</v>
      </c>
      <c r="C804" s="23" t="s">
        <v>2549</v>
      </c>
      <c r="D804" s="23" t="s">
        <v>3660</v>
      </c>
      <c r="E804" s="23" t="s">
        <v>1517</v>
      </c>
      <c r="F804" s="23">
        <v>7</v>
      </c>
      <c r="G804" s="23">
        <v>4238.07</v>
      </c>
      <c r="H804" s="23">
        <v>29666.49</v>
      </c>
    </row>
    <row r="805" spans="1:8">
      <c r="A805" s="27">
        <v>45239</v>
      </c>
      <c r="B805" s="23" t="s">
        <v>1537</v>
      </c>
      <c r="C805" s="23" t="s">
        <v>2552</v>
      </c>
      <c r="D805" s="23" t="s">
        <v>3667</v>
      </c>
      <c r="E805" s="23" t="s">
        <v>1518</v>
      </c>
      <c r="F805" s="23">
        <v>16</v>
      </c>
      <c r="G805" s="23">
        <v>3981.76</v>
      </c>
      <c r="H805" s="23">
        <v>63708.160000000003</v>
      </c>
    </row>
    <row r="806" spans="1:8">
      <c r="A806" s="27">
        <v>44943</v>
      </c>
      <c r="B806" s="23" t="s">
        <v>1538</v>
      </c>
      <c r="C806" s="23" t="s">
        <v>2551</v>
      </c>
      <c r="D806" s="23" t="s">
        <v>3659</v>
      </c>
      <c r="E806" s="23" t="s">
        <v>1517</v>
      </c>
      <c r="F806" s="23">
        <v>6</v>
      </c>
      <c r="G806" s="23">
        <v>3671.84</v>
      </c>
      <c r="H806" s="23">
        <v>22031.040000000001</v>
      </c>
    </row>
    <row r="807" spans="1:8">
      <c r="A807" s="27">
        <v>45214</v>
      </c>
      <c r="B807" s="23" t="s">
        <v>1537</v>
      </c>
      <c r="C807" s="23" t="s">
        <v>2550</v>
      </c>
      <c r="D807" s="23" t="s">
        <v>3661</v>
      </c>
      <c r="E807" s="23" t="s">
        <v>1517</v>
      </c>
      <c r="F807" s="23">
        <v>3</v>
      </c>
      <c r="G807" s="23">
        <v>1046.06</v>
      </c>
      <c r="H807" s="23">
        <v>3138.18</v>
      </c>
    </row>
    <row r="808" spans="1:8">
      <c r="A808" s="27">
        <v>45270</v>
      </c>
      <c r="B808" s="23" t="s">
        <v>1537</v>
      </c>
      <c r="C808" s="23" t="s">
        <v>2550</v>
      </c>
      <c r="D808" s="23" t="s">
        <v>3658</v>
      </c>
      <c r="E808" s="23" t="s">
        <v>1516</v>
      </c>
      <c r="F808" s="23">
        <v>8</v>
      </c>
      <c r="G808" s="23">
        <v>1595.76</v>
      </c>
      <c r="H808" s="23">
        <v>12766.08</v>
      </c>
    </row>
    <row r="809" spans="1:8">
      <c r="A809" s="27">
        <v>45191</v>
      </c>
      <c r="B809" s="23" t="s">
        <v>1538</v>
      </c>
      <c r="C809" s="23" t="s">
        <v>2551</v>
      </c>
      <c r="D809" s="23" t="s">
        <v>3659</v>
      </c>
      <c r="E809" s="23" t="s">
        <v>1514</v>
      </c>
      <c r="F809" s="23">
        <v>8</v>
      </c>
      <c r="G809" s="23">
        <v>4866.58</v>
      </c>
      <c r="H809" s="23">
        <v>38932.639999999999</v>
      </c>
    </row>
    <row r="810" spans="1:8">
      <c r="A810" s="27">
        <v>45194</v>
      </c>
      <c r="B810" s="23" t="s">
        <v>1535</v>
      </c>
      <c r="C810" s="23" t="s">
        <v>2548</v>
      </c>
      <c r="D810" s="23" t="s">
        <v>3666</v>
      </c>
      <c r="E810" s="23" t="s">
        <v>3657</v>
      </c>
      <c r="F810" s="23">
        <v>2</v>
      </c>
      <c r="G810" s="23">
        <v>4176.99</v>
      </c>
      <c r="H810" s="23">
        <v>8353.98</v>
      </c>
    </row>
    <row r="811" spans="1:8">
      <c r="A811" s="27">
        <v>45203</v>
      </c>
      <c r="B811" s="23" t="s">
        <v>1538</v>
      </c>
      <c r="C811" s="23" t="s">
        <v>2551</v>
      </c>
      <c r="D811" s="23" t="s">
        <v>3659</v>
      </c>
      <c r="E811" s="23" t="s">
        <v>1514</v>
      </c>
      <c r="F811" s="23">
        <v>16</v>
      </c>
      <c r="G811" s="23">
        <v>4860.07</v>
      </c>
      <c r="H811" s="23">
        <v>77761.119999999995</v>
      </c>
    </row>
    <row r="812" spans="1:8">
      <c r="A812" s="27">
        <v>45126</v>
      </c>
      <c r="B812" s="23" t="s">
        <v>1537</v>
      </c>
      <c r="C812" s="23" t="s">
        <v>2552</v>
      </c>
      <c r="D812" s="23" t="s">
        <v>3662</v>
      </c>
      <c r="E812" s="23" t="s">
        <v>1516</v>
      </c>
      <c r="F812" s="23">
        <v>4</v>
      </c>
      <c r="G812" s="23">
        <v>277.45</v>
      </c>
      <c r="H812" s="23">
        <v>1109.8</v>
      </c>
    </row>
    <row r="813" spans="1:8">
      <c r="A813" s="27">
        <v>44965</v>
      </c>
      <c r="B813" s="23" t="s">
        <v>1537</v>
      </c>
      <c r="C813" s="23" t="s">
        <v>2552</v>
      </c>
      <c r="D813" s="23" t="s">
        <v>3662</v>
      </c>
      <c r="E813" s="23" t="s">
        <v>3657</v>
      </c>
      <c r="F813" s="23">
        <v>13</v>
      </c>
      <c r="G813" s="23">
        <v>1030.9000000000001</v>
      </c>
      <c r="H813" s="23">
        <v>13401.7</v>
      </c>
    </row>
    <row r="814" spans="1:8">
      <c r="A814" s="27">
        <v>45258</v>
      </c>
      <c r="B814" s="23" t="s">
        <v>1537</v>
      </c>
      <c r="C814" s="23" t="s">
        <v>2552</v>
      </c>
      <c r="D814" s="23" t="s">
        <v>3667</v>
      </c>
      <c r="E814" s="23" t="s">
        <v>1517</v>
      </c>
      <c r="F814" s="23">
        <v>16</v>
      </c>
      <c r="G814" s="23">
        <v>2573.33</v>
      </c>
      <c r="H814" s="23">
        <v>41173.279999999999</v>
      </c>
    </row>
    <row r="815" spans="1:8">
      <c r="A815" s="27">
        <v>44942</v>
      </c>
      <c r="B815" s="23" t="s">
        <v>1537</v>
      </c>
      <c r="C815" s="23" t="s">
        <v>2550</v>
      </c>
      <c r="D815" s="23" t="s">
        <v>3656</v>
      </c>
      <c r="E815" s="23" t="s">
        <v>1518</v>
      </c>
      <c r="F815" s="23">
        <v>18</v>
      </c>
      <c r="G815" s="23">
        <v>1134.8800000000001</v>
      </c>
      <c r="H815" s="23">
        <v>20427.84</v>
      </c>
    </row>
    <row r="816" spans="1:8">
      <c r="A816" s="27">
        <v>45283</v>
      </c>
      <c r="B816" s="23" t="s">
        <v>1538</v>
      </c>
      <c r="C816" s="23" t="s">
        <v>2551</v>
      </c>
      <c r="D816" s="23" t="s">
        <v>3668</v>
      </c>
      <c r="E816" s="23" t="s">
        <v>1517</v>
      </c>
      <c r="F816" s="23">
        <v>13</v>
      </c>
      <c r="G816" s="23">
        <v>802.18</v>
      </c>
      <c r="H816" s="23">
        <v>10428.34</v>
      </c>
    </row>
    <row r="817" spans="1:8">
      <c r="A817" s="27">
        <v>45288</v>
      </c>
      <c r="B817" s="23" t="s">
        <v>1537</v>
      </c>
      <c r="C817" s="23" t="s">
        <v>2550</v>
      </c>
      <c r="D817" s="23" t="s">
        <v>3661</v>
      </c>
      <c r="E817" s="23" t="s">
        <v>1518</v>
      </c>
      <c r="F817" s="23">
        <v>10</v>
      </c>
      <c r="G817" s="23">
        <v>568.6</v>
      </c>
      <c r="H817" s="23">
        <v>5686</v>
      </c>
    </row>
    <row r="818" spans="1:8">
      <c r="A818" s="27">
        <v>45192</v>
      </c>
      <c r="B818" s="23" t="s">
        <v>1535</v>
      </c>
      <c r="C818" s="23" t="s">
        <v>2549</v>
      </c>
      <c r="D818" s="23" t="s">
        <v>3660</v>
      </c>
      <c r="E818" s="23" t="s">
        <v>1516</v>
      </c>
      <c r="F818" s="23">
        <v>7</v>
      </c>
      <c r="G818" s="23">
        <v>1801.74</v>
      </c>
      <c r="H818" s="23">
        <v>12612.18</v>
      </c>
    </row>
    <row r="819" spans="1:8">
      <c r="A819" s="27">
        <v>45138</v>
      </c>
      <c r="B819" s="23" t="s">
        <v>1537</v>
      </c>
      <c r="C819" s="23" t="s">
        <v>2552</v>
      </c>
      <c r="D819" s="23" t="s">
        <v>3667</v>
      </c>
      <c r="E819" s="23" t="s">
        <v>1516</v>
      </c>
      <c r="F819" s="23">
        <v>13</v>
      </c>
      <c r="G819" s="23">
        <v>968.18</v>
      </c>
      <c r="H819" s="23">
        <v>12586.34</v>
      </c>
    </row>
    <row r="820" spans="1:8">
      <c r="A820" s="27">
        <v>45034</v>
      </c>
      <c r="B820" s="23" t="s">
        <v>1537</v>
      </c>
      <c r="C820" s="23" t="s">
        <v>2552</v>
      </c>
      <c r="D820" s="23" t="s">
        <v>3655</v>
      </c>
      <c r="E820" s="23" t="s">
        <v>1518</v>
      </c>
      <c r="F820" s="23">
        <v>6</v>
      </c>
      <c r="G820" s="23">
        <v>3439.83</v>
      </c>
      <c r="H820" s="23">
        <v>20638.98</v>
      </c>
    </row>
    <row r="821" spans="1:8">
      <c r="A821" s="27">
        <v>45146</v>
      </c>
      <c r="B821" s="23" t="s">
        <v>1537</v>
      </c>
      <c r="C821" s="23" t="s">
        <v>2552</v>
      </c>
      <c r="D821" s="23" t="s">
        <v>3662</v>
      </c>
      <c r="E821" s="23" t="s">
        <v>3657</v>
      </c>
      <c r="F821" s="23">
        <v>15</v>
      </c>
      <c r="G821" s="23">
        <v>3943.63</v>
      </c>
      <c r="H821" s="23">
        <v>59154.45</v>
      </c>
    </row>
    <row r="822" spans="1:8">
      <c r="A822" s="27">
        <v>45172</v>
      </c>
      <c r="B822" s="23" t="s">
        <v>1538</v>
      </c>
      <c r="C822" s="23" t="s">
        <v>2551</v>
      </c>
      <c r="D822" s="23" t="s">
        <v>3669</v>
      </c>
      <c r="E822" s="23" t="s">
        <v>1518</v>
      </c>
      <c r="F822" s="23">
        <v>11</v>
      </c>
      <c r="G822" s="23">
        <v>1418.67</v>
      </c>
      <c r="H822" s="23">
        <v>15605.37</v>
      </c>
    </row>
    <row r="823" spans="1:8">
      <c r="A823" s="27">
        <v>44938</v>
      </c>
      <c r="B823" s="23" t="s">
        <v>1537</v>
      </c>
      <c r="C823" s="23" t="s">
        <v>2552</v>
      </c>
      <c r="D823" s="23" t="s">
        <v>3662</v>
      </c>
      <c r="E823" s="23" t="s">
        <v>1517</v>
      </c>
      <c r="F823" s="23">
        <v>16</v>
      </c>
      <c r="G823" s="23">
        <v>2976.17</v>
      </c>
      <c r="H823" s="23">
        <v>47618.720000000001</v>
      </c>
    </row>
    <row r="824" spans="1:8">
      <c r="A824" s="27">
        <v>45109</v>
      </c>
      <c r="B824" s="23" t="s">
        <v>1538</v>
      </c>
      <c r="C824" s="23" t="s">
        <v>2551</v>
      </c>
      <c r="D824" s="23" t="s">
        <v>3668</v>
      </c>
      <c r="E824" s="23" t="s">
        <v>1516</v>
      </c>
      <c r="F824" s="23">
        <v>4</v>
      </c>
      <c r="G824" s="23">
        <v>2984.27</v>
      </c>
      <c r="H824" s="23">
        <v>11937.08</v>
      </c>
    </row>
    <row r="825" spans="1:8">
      <c r="A825" s="27">
        <v>44997</v>
      </c>
      <c r="B825" s="23" t="s">
        <v>1537</v>
      </c>
      <c r="C825" s="23" t="s">
        <v>2552</v>
      </c>
      <c r="D825" s="23" t="s">
        <v>3662</v>
      </c>
      <c r="E825" s="23" t="s">
        <v>3657</v>
      </c>
      <c r="F825" s="23">
        <v>2</v>
      </c>
      <c r="G825" s="23">
        <v>1888.47</v>
      </c>
      <c r="H825" s="23">
        <v>3776.94</v>
      </c>
    </row>
    <row r="826" spans="1:8">
      <c r="A826" s="27">
        <v>45234</v>
      </c>
      <c r="B826" s="23" t="s">
        <v>1535</v>
      </c>
      <c r="C826" s="23" t="s">
        <v>2548</v>
      </c>
      <c r="D826" s="23" t="s">
        <v>3666</v>
      </c>
      <c r="E826" s="23" t="s">
        <v>1518</v>
      </c>
      <c r="F826" s="23">
        <v>18</v>
      </c>
      <c r="G826" s="23">
        <v>651.22</v>
      </c>
      <c r="H826" s="23">
        <v>11721.96</v>
      </c>
    </row>
    <row r="827" spans="1:8">
      <c r="A827" s="27">
        <v>45089</v>
      </c>
      <c r="B827" s="23" t="s">
        <v>1537</v>
      </c>
      <c r="C827" s="23" t="s">
        <v>2550</v>
      </c>
      <c r="D827" s="23" t="s">
        <v>3661</v>
      </c>
      <c r="E827" s="23" t="s">
        <v>1518</v>
      </c>
      <c r="F827" s="23">
        <v>3</v>
      </c>
      <c r="G827" s="23">
        <v>3109.18</v>
      </c>
      <c r="H827" s="23">
        <v>9327.5400000000009</v>
      </c>
    </row>
    <row r="828" spans="1:8">
      <c r="A828" s="27">
        <v>45143</v>
      </c>
      <c r="B828" s="23" t="s">
        <v>1535</v>
      </c>
      <c r="C828" s="23" t="s">
        <v>2549</v>
      </c>
      <c r="D828" s="23" t="s">
        <v>3665</v>
      </c>
      <c r="E828" s="23" t="s">
        <v>1518</v>
      </c>
      <c r="F828" s="23">
        <v>11</v>
      </c>
      <c r="G828" s="23">
        <v>587.46</v>
      </c>
      <c r="H828" s="23">
        <v>6462.06</v>
      </c>
    </row>
    <row r="829" spans="1:8">
      <c r="A829" s="27">
        <v>44972</v>
      </c>
      <c r="B829" s="23" t="s">
        <v>1538</v>
      </c>
      <c r="C829" s="23" t="s">
        <v>2551</v>
      </c>
      <c r="D829" s="23" t="s">
        <v>3668</v>
      </c>
      <c r="E829" s="23" t="s">
        <v>1516</v>
      </c>
      <c r="F829" s="23">
        <v>1</v>
      </c>
      <c r="G829" s="23">
        <v>2466.0100000000002</v>
      </c>
      <c r="H829" s="23">
        <v>2466.0100000000002</v>
      </c>
    </row>
    <row r="830" spans="1:8">
      <c r="A830" s="27">
        <v>45223</v>
      </c>
      <c r="B830" s="23" t="s">
        <v>1535</v>
      </c>
      <c r="C830" s="23" t="s">
        <v>2548</v>
      </c>
      <c r="D830" s="23" t="s">
        <v>3663</v>
      </c>
      <c r="E830" s="23" t="s">
        <v>1517</v>
      </c>
      <c r="F830" s="23">
        <v>19</v>
      </c>
      <c r="G830" s="23">
        <v>3907.56</v>
      </c>
      <c r="H830" s="23">
        <v>74243.64</v>
      </c>
    </row>
    <row r="831" spans="1:8">
      <c r="A831" s="27">
        <v>45129</v>
      </c>
      <c r="B831" s="23" t="s">
        <v>1538</v>
      </c>
      <c r="C831" s="23" t="s">
        <v>2551</v>
      </c>
      <c r="D831" s="23" t="s">
        <v>3659</v>
      </c>
      <c r="E831" s="23" t="s">
        <v>1516</v>
      </c>
      <c r="F831" s="23">
        <v>5</v>
      </c>
      <c r="G831" s="23">
        <v>2463.9499999999998</v>
      </c>
      <c r="H831" s="23">
        <v>12319.75</v>
      </c>
    </row>
    <row r="832" spans="1:8">
      <c r="A832" s="27">
        <v>44933</v>
      </c>
      <c r="B832" s="23" t="s">
        <v>1537</v>
      </c>
      <c r="C832" s="23" t="s">
        <v>2552</v>
      </c>
      <c r="D832" s="23" t="s">
        <v>3655</v>
      </c>
      <c r="E832" s="23" t="s">
        <v>1518</v>
      </c>
      <c r="F832" s="23">
        <v>7</v>
      </c>
      <c r="G832" s="23">
        <v>410.28</v>
      </c>
      <c r="H832" s="23">
        <v>2871.96</v>
      </c>
    </row>
    <row r="833" spans="1:8">
      <c r="A833" s="27">
        <v>45069</v>
      </c>
      <c r="B833" s="23" t="s">
        <v>1535</v>
      </c>
      <c r="C833" s="23" t="s">
        <v>2548</v>
      </c>
      <c r="D833" s="23" t="s">
        <v>3664</v>
      </c>
      <c r="E833" s="23" t="s">
        <v>3657</v>
      </c>
      <c r="F833" s="23">
        <v>16</v>
      </c>
      <c r="G833" s="23">
        <v>704.88</v>
      </c>
      <c r="H833" s="23">
        <v>11278.08</v>
      </c>
    </row>
    <row r="834" spans="1:8">
      <c r="A834" s="27">
        <v>44932</v>
      </c>
      <c r="B834" s="23" t="s">
        <v>1537</v>
      </c>
      <c r="C834" s="23" t="s">
        <v>2550</v>
      </c>
      <c r="D834" s="23" t="s">
        <v>3656</v>
      </c>
      <c r="E834" s="23" t="s">
        <v>3657</v>
      </c>
      <c r="F834" s="23">
        <v>2</v>
      </c>
      <c r="G834" s="23">
        <v>779.35</v>
      </c>
      <c r="H834" s="23">
        <v>1558.7</v>
      </c>
    </row>
    <row r="835" spans="1:8">
      <c r="A835" s="27">
        <v>45135</v>
      </c>
      <c r="B835" s="23" t="s">
        <v>1538</v>
      </c>
      <c r="C835" s="23" t="s">
        <v>2551</v>
      </c>
      <c r="D835" s="23" t="s">
        <v>3669</v>
      </c>
      <c r="E835" s="23" t="s">
        <v>1516</v>
      </c>
      <c r="F835" s="23">
        <v>18</v>
      </c>
      <c r="G835" s="23">
        <v>276.35000000000002</v>
      </c>
      <c r="H835" s="23">
        <v>4974.3</v>
      </c>
    </row>
    <row r="836" spans="1:8">
      <c r="A836" s="27">
        <v>44980</v>
      </c>
      <c r="B836" s="23" t="s">
        <v>1537</v>
      </c>
      <c r="C836" s="23" t="s">
        <v>2552</v>
      </c>
      <c r="D836" s="23" t="s">
        <v>3662</v>
      </c>
      <c r="E836" s="23" t="s">
        <v>3657</v>
      </c>
      <c r="F836" s="23">
        <v>12</v>
      </c>
      <c r="G836" s="23">
        <v>4964.87</v>
      </c>
      <c r="H836" s="23">
        <v>59578.44</v>
      </c>
    </row>
    <row r="837" spans="1:8">
      <c r="A837" s="27">
        <v>45092</v>
      </c>
      <c r="B837" s="23" t="s">
        <v>1535</v>
      </c>
      <c r="C837" s="23" t="s">
        <v>2548</v>
      </c>
      <c r="D837" s="23" t="s">
        <v>3664</v>
      </c>
      <c r="E837" s="23" t="s">
        <v>3657</v>
      </c>
      <c r="F837" s="23">
        <v>10</v>
      </c>
      <c r="G837" s="23">
        <v>1979.32</v>
      </c>
      <c r="H837" s="23">
        <v>19793.2</v>
      </c>
    </row>
    <row r="838" spans="1:8">
      <c r="A838" s="27">
        <v>45174</v>
      </c>
      <c r="B838" s="23" t="s">
        <v>1535</v>
      </c>
      <c r="C838" s="23" t="s">
        <v>2548</v>
      </c>
      <c r="D838" s="23" t="s">
        <v>3664</v>
      </c>
      <c r="E838" s="23" t="s">
        <v>1517</v>
      </c>
      <c r="F838" s="23">
        <v>7</v>
      </c>
      <c r="G838" s="23">
        <v>978.46</v>
      </c>
      <c r="H838" s="23">
        <v>6849.22</v>
      </c>
    </row>
    <row r="839" spans="1:8">
      <c r="A839" s="27">
        <v>45082</v>
      </c>
      <c r="B839" s="23" t="s">
        <v>1538</v>
      </c>
      <c r="C839" s="23" t="s">
        <v>2551</v>
      </c>
      <c r="D839" s="23" t="s">
        <v>3668</v>
      </c>
      <c r="E839" s="23" t="s">
        <v>1514</v>
      </c>
      <c r="F839" s="23">
        <v>1</v>
      </c>
      <c r="G839" s="23">
        <v>1591.88</v>
      </c>
      <c r="H839" s="23">
        <v>1591.88</v>
      </c>
    </row>
    <row r="840" spans="1:8">
      <c r="A840" s="27">
        <v>44986</v>
      </c>
      <c r="B840" s="23" t="s">
        <v>1537</v>
      </c>
      <c r="C840" s="23" t="s">
        <v>2550</v>
      </c>
      <c r="D840" s="23" t="s">
        <v>3661</v>
      </c>
      <c r="E840" s="23" t="s">
        <v>3657</v>
      </c>
      <c r="F840" s="23">
        <v>12</v>
      </c>
      <c r="G840" s="23">
        <v>4403.8500000000004</v>
      </c>
      <c r="H840" s="23">
        <v>52846.2</v>
      </c>
    </row>
    <row r="841" spans="1:8">
      <c r="A841" s="27">
        <v>44977</v>
      </c>
      <c r="B841" s="23" t="s">
        <v>1537</v>
      </c>
      <c r="C841" s="23" t="s">
        <v>2550</v>
      </c>
      <c r="D841" s="23" t="s">
        <v>3658</v>
      </c>
      <c r="E841" s="23" t="s">
        <v>1516</v>
      </c>
      <c r="F841" s="23">
        <v>8</v>
      </c>
      <c r="G841" s="23">
        <v>1481.04</v>
      </c>
      <c r="H841" s="23">
        <v>11848.32</v>
      </c>
    </row>
    <row r="842" spans="1:8">
      <c r="A842" s="27">
        <v>45109</v>
      </c>
      <c r="B842" s="23" t="s">
        <v>1537</v>
      </c>
      <c r="C842" s="23" t="s">
        <v>2552</v>
      </c>
      <c r="D842" s="23" t="s">
        <v>3662</v>
      </c>
      <c r="E842" s="23" t="s">
        <v>1517</v>
      </c>
      <c r="F842" s="23">
        <v>20</v>
      </c>
      <c r="G842" s="23">
        <v>722.13</v>
      </c>
      <c r="H842" s="23">
        <v>14442.6</v>
      </c>
    </row>
    <row r="843" spans="1:8">
      <c r="A843" s="27">
        <v>44963</v>
      </c>
      <c r="B843" s="23" t="s">
        <v>1538</v>
      </c>
      <c r="C843" s="23" t="s">
        <v>2551</v>
      </c>
      <c r="D843" s="23" t="s">
        <v>3668</v>
      </c>
      <c r="E843" s="23" t="s">
        <v>1516</v>
      </c>
      <c r="F843" s="23">
        <v>6</v>
      </c>
      <c r="G843" s="23">
        <v>2772.51</v>
      </c>
      <c r="H843" s="23">
        <v>16635.060000000001</v>
      </c>
    </row>
    <row r="844" spans="1:8">
      <c r="A844" s="27">
        <v>45075</v>
      </c>
      <c r="B844" s="23" t="s">
        <v>1537</v>
      </c>
      <c r="C844" s="23" t="s">
        <v>2552</v>
      </c>
      <c r="D844" s="23" t="s">
        <v>3667</v>
      </c>
      <c r="E844" s="23" t="s">
        <v>1517</v>
      </c>
      <c r="F844" s="23">
        <v>4</v>
      </c>
      <c r="G844" s="23">
        <v>1993.97</v>
      </c>
      <c r="H844" s="23">
        <v>7975.88</v>
      </c>
    </row>
    <row r="845" spans="1:8">
      <c r="A845" s="27">
        <v>44960</v>
      </c>
      <c r="B845" s="23" t="s">
        <v>1535</v>
      </c>
      <c r="C845" s="23" t="s">
        <v>2548</v>
      </c>
      <c r="D845" s="23" t="s">
        <v>3663</v>
      </c>
      <c r="E845" s="23" t="s">
        <v>1517</v>
      </c>
      <c r="F845" s="23">
        <v>4</v>
      </c>
      <c r="G845" s="23">
        <v>2514.88</v>
      </c>
      <c r="H845" s="23">
        <v>10059.52</v>
      </c>
    </row>
    <row r="846" spans="1:8">
      <c r="A846" s="27">
        <v>45133</v>
      </c>
      <c r="B846" s="23" t="s">
        <v>1535</v>
      </c>
      <c r="C846" s="23" t="s">
        <v>2548</v>
      </c>
      <c r="D846" s="23" t="s">
        <v>3666</v>
      </c>
      <c r="E846" s="23" t="s">
        <v>1517</v>
      </c>
      <c r="F846" s="23">
        <v>15</v>
      </c>
      <c r="G846" s="23">
        <v>2006.04</v>
      </c>
      <c r="H846" s="23">
        <v>30090.6</v>
      </c>
    </row>
    <row r="847" spans="1:8">
      <c r="A847" s="27">
        <v>45128</v>
      </c>
      <c r="B847" s="23" t="s">
        <v>1535</v>
      </c>
      <c r="C847" s="23" t="s">
        <v>2549</v>
      </c>
      <c r="D847" s="23" t="s">
        <v>3660</v>
      </c>
      <c r="E847" s="23" t="s">
        <v>1516</v>
      </c>
      <c r="F847" s="23">
        <v>16</v>
      </c>
      <c r="G847" s="23">
        <v>4780.7700000000004</v>
      </c>
      <c r="H847" s="23">
        <v>76492.320000000007</v>
      </c>
    </row>
    <row r="848" spans="1:8">
      <c r="A848" s="27">
        <v>44980</v>
      </c>
      <c r="B848" s="23" t="s">
        <v>1535</v>
      </c>
      <c r="C848" s="23" t="s">
        <v>2548</v>
      </c>
      <c r="D848" s="23" t="s">
        <v>3666</v>
      </c>
      <c r="E848" s="23" t="s">
        <v>3657</v>
      </c>
      <c r="F848" s="23">
        <v>19</v>
      </c>
      <c r="G848" s="23">
        <v>1067.6199999999999</v>
      </c>
      <c r="H848" s="23">
        <v>20284.78</v>
      </c>
    </row>
    <row r="849" spans="1:8">
      <c r="A849" s="27">
        <v>45168</v>
      </c>
      <c r="B849" s="23" t="s">
        <v>1537</v>
      </c>
      <c r="C849" s="23" t="s">
        <v>2550</v>
      </c>
      <c r="D849" s="23" t="s">
        <v>3658</v>
      </c>
      <c r="E849" s="23" t="s">
        <v>1517</v>
      </c>
      <c r="F849" s="23">
        <v>3</v>
      </c>
      <c r="G849" s="23">
        <v>4363.3</v>
      </c>
      <c r="H849" s="23">
        <v>13089.9</v>
      </c>
    </row>
    <row r="850" spans="1:8">
      <c r="A850" s="27">
        <v>45242</v>
      </c>
      <c r="B850" s="23" t="s">
        <v>1535</v>
      </c>
      <c r="C850" s="23" t="s">
        <v>2549</v>
      </c>
      <c r="D850" s="23" t="s">
        <v>3654</v>
      </c>
      <c r="E850" s="23" t="s">
        <v>1518</v>
      </c>
      <c r="F850" s="23">
        <v>14</v>
      </c>
      <c r="G850" s="23">
        <v>492.06</v>
      </c>
      <c r="H850" s="23">
        <v>6888.84</v>
      </c>
    </row>
    <row r="851" spans="1:8">
      <c r="A851" s="27">
        <v>45170</v>
      </c>
      <c r="B851" s="23" t="s">
        <v>1535</v>
      </c>
      <c r="C851" s="23" t="s">
        <v>2548</v>
      </c>
      <c r="D851" s="23" t="s">
        <v>3664</v>
      </c>
      <c r="E851" s="23" t="s">
        <v>3657</v>
      </c>
      <c r="F851" s="23">
        <v>19</v>
      </c>
      <c r="G851" s="23">
        <v>3326.91</v>
      </c>
      <c r="H851" s="23">
        <v>63211.29</v>
      </c>
    </row>
    <row r="852" spans="1:8">
      <c r="A852" s="27">
        <v>45223</v>
      </c>
      <c r="B852" s="23" t="s">
        <v>1537</v>
      </c>
      <c r="C852" s="23" t="s">
        <v>2552</v>
      </c>
      <c r="D852" s="23" t="s">
        <v>3667</v>
      </c>
      <c r="E852" s="23" t="s">
        <v>3657</v>
      </c>
      <c r="F852" s="23">
        <v>11</v>
      </c>
      <c r="G852" s="23">
        <v>841.99</v>
      </c>
      <c r="H852" s="23">
        <v>9261.89</v>
      </c>
    </row>
    <row r="853" spans="1:8">
      <c r="A853" s="27">
        <v>45242</v>
      </c>
      <c r="B853" s="23" t="s">
        <v>1535</v>
      </c>
      <c r="C853" s="23" t="s">
        <v>2549</v>
      </c>
      <c r="D853" s="23" t="s">
        <v>3654</v>
      </c>
      <c r="E853" s="23" t="s">
        <v>1514</v>
      </c>
      <c r="F853" s="23">
        <v>7</v>
      </c>
      <c r="G853" s="23">
        <v>1458</v>
      </c>
      <c r="H853" s="23">
        <v>10206</v>
      </c>
    </row>
    <row r="854" spans="1:8">
      <c r="A854" s="27">
        <v>45167</v>
      </c>
      <c r="B854" s="23" t="s">
        <v>1535</v>
      </c>
      <c r="C854" s="23" t="s">
        <v>2549</v>
      </c>
      <c r="D854" s="23" t="s">
        <v>3660</v>
      </c>
      <c r="E854" s="23" t="s">
        <v>3657</v>
      </c>
      <c r="F854" s="23">
        <v>5</v>
      </c>
      <c r="G854" s="23">
        <v>3342.48</v>
      </c>
      <c r="H854" s="23">
        <v>16712.400000000001</v>
      </c>
    </row>
    <row r="855" spans="1:8">
      <c r="A855" s="27">
        <v>44995</v>
      </c>
      <c r="B855" s="23" t="s">
        <v>1537</v>
      </c>
      <c r="C855" s="23" t="s">
        <v>2552</v>
      </c>
      <c r="D855" s="23" t="s">
        <v>3667</v>
      </c>
      <c r="E855" s="23" t="s">
        <v>1518</v>
      </c>
      <c r="F855" s="23">
        <v>5</v>
      </c>
      <c r="G855" s="23">
        <v>4300.7</v>
      </c>
      <c r="H855" s="23">
        <v>21503.5</v>
      </c>
    </row>
    <row r="856" spans="1:8">
      <c r="A856" s="27">
        <v>45052</v>
      </c>
      <c r="B856" s="23" t="s">
        <v>1538</v>
      </c>
      <c r="C856" s="23" t="s">
        <v>2551</v>
      </c>
      <c r="D856" s="23" t="s">
        <v>3659</v>
      </c>
      <c r="E856" s="23" t="s">
        <v>1518</v>
      </c>
      <c r="F856" s="23">
        <v>18</v>
      </c>
      <c r="G856" s="23">
        <v>4861.3100000000004</v>
      </c>
      <c r="H856" s="23">
        <v>87503.58</v>
      </c>
    </row>
    <row r="857" spans="1:8">
      <c r="A857" s="27">
        <v>45238</v>
      </c>
      <c r="B857" s="23" t="s">
        <v>1538</v>
      </c>
      <c r="C857" s="23" t="s">
        <v>2551</v>
      </c>
      <c r="D857" s="23" t="s">
        <v>3659</v>
      </c>
      <c r="E857" s="23" t="s">
        <v>1514</v>
      </c>
      <c r="F857" s="23">
        <v>17</v>
      </c>
      <c r="G857" s="23">
        <v>2216.38</v>
      </c>
      <c r="H857" s="23">
        <v>37678.46</v>
      </c>
    </row>
    <row r="858" spans="1:8">
      <c r="A858" s="27">
        <v>45168</v>
      </c>
      <c r="B858" s="23" t="s">
        <v>1538</v>
      </c>
      <c r="C858" s="23" t="s">
        <v>2551</v>
      </c>
      <c r="D858" s="23" t="s">
        <v>3659</v>
      </c>
      <c r="E858" s="23" t="s">
        <v>3657</v>
      </c>
      <c r="F858" s="23">
        <v>18</v>
      </c>
      <c r="G858" s="23">
        <v>448.42</v>
      </c>
      <c r="H858" s="23">
        <v>8071.56</v>
      </c>
    </row>
    <row r="859" spans="1:8">
      <c r="A859" s="27">
        <v>45258</v>
      </c>
      <c r="B859" s="23" t="s">
        <v>1535</v>
      </c>
      <c r="C859" s="23" t="s">
        <v>2549</v>
      </c>
      <c r="D859" s="23" t="s">
        <v>3665</v>
      </c>
      <c r="E859" s="23" t="s">
        <v>3657</v>
      </c>
      <c r="F859" s="23">
        <v>20</v>
      </c>
      <c r="G859" s="23">
        <v>4226.93</v>
      </c>
      <c r="H859" s="23">
        <v>84538.6</v>
      </c>
    </row>
    <row r="860" spans="1:8">
      <c r="A860" s="27">
        <v>45131</v>
      </c>
      <c r="B860" s="23" t="s">
        <v>1535</v>
      </c>
      <c r="C860" s="23" t="s">
        <v>2549</v>
      </c>
      <c r="D860" s="23" t="s">
        <v>3665</v>
      </c>
      <c r="E860" s="23" t="s">
        <v>3657</v>
      </c>
      <c r="F860" s="23">
        <v>16</v>
      </c>
      <c r="G860" s="23">
        <v>1575.89</v>
      </c>
      <c r="H860" s="23">
        <v>25214.240000000002</v>
      </c>
    </row>
    <row r="861" spans="1:8">
      <c r="A861" s="27">
        <v>45025</v>
      </c>
      <c r="B861" s="23" t="s">
        <v>1537</v>
      </c>
      <c r="C861" s="23" t="s">
        <v>2552</v>
      </c>
      <c r="D861" s="23" t="s">
        <v>3667</v>
      </c>
      <c r="E861" s="23" t="s">
        <v>1518</v>
      </c>
      <c r="F861" s="23">
        <v>8</v>
      </c>
      <c r="G861" s="23">
        <v>1968.58</v>
      </c>
      <c r="H861" s="23">
        <v>15748.64</v>
      </c>
    </row>
    <row r="862" spans="1:8">
      <c r="A862" s="27">
        <v>45183</v>
      </c>
      <c r="B862" s="23" t="s">
        <v>1535</v>
      </c>
      <c r="C862" s="23" t="s">
        <v>2548</v>
      </c>
      <c r="D862" s="23" t="s">
        <v>3663</v>
      </c>
      <c r="E862" s="23" t="s">
        <v>3657</v>
      </c>
      <c r="F862" s="23">
        <v>4</v>
      </c>
      <c r="G862" s="23">
        <v>3377.27</v>
      </c>
      <c r="H862" s="23">
        <v>13509.08</v>
      </c>
    </row>
    <row r="863" spans="1:8">
      <c r="A863" s="27">
        <v>44979</v>
      </c>
      <c r="B863" s="23" t="s">
        <v>1537</v>
      </c>
      <c r="C863" s="23" t="s">
        <v>2552</v>
      </c>
      <c r="D863" s="23" t="s">
        <v>3667</v>
      </c>
      <c r="E863" s="23" t="s">
        <v>1518</v>
      </c>
      <c r="F863" s="23">
        <v>2</v>
      </c>
      <c r="G863" s="23">
        <v>296.52999999999997</v>
      </c>
      <c r="H863" s="23">
        <v>593.05999999999995</v>
      </c>
    </row>
    <row r="864" spans="1:8">
      <c r="A864" s="27">
        <v>45257</v>
      </c>
      <c r="B864" s="23" t="s">
        <v>1535</v>
      </c>
      <c r="C864" s="23" t="s">
        <v>2548</v>
      </c>
      <c r="D864" s="23" t="s">
        <v>3664</v>
      </c>
      <c r="E864" s="23" t="s">
        <v>1516</v>
      </c>
      <c r="F864" s="23">
        <v>12</v>
      </c>
      <c r="G864" s="23">
        <v>749.68</v>
      </c>
      <c r="H864" s="23">
        <v>8996.16</v>
      </c>
    </row>
    <row r="865" spans="1:8">
      <c r="A865" s="27">
        <v>44988</v>
      </c>
      <c r="B865" s="23" t="s">
        <v>1535</v>
      </c>
      <c r="C865" s="23" t="s">
        <v>2549</v>
      </c>
      <c r="D865" s="23" t="s">
        <v>3660</v>
      </c>
      <c r="E865" s="23" t="s">
        <v>1514</v>
      </c>
      <c r="F865" s="23">
        <v>11</v>
      </c>
      <c r="G865" s="23">
        <v>3584.06</v>
      </c>
      <c r="H865" s="23">
        <v>39424.660000000003</v>
      </c>
    </row>
    <row r="866" spans="1:8">
      <c r="A866" s="27">
        <v>45232</v>
      </c>
      <c r="B866" s="23" t="s">
        <v>1535</v>
      </c>
      <c r="C866" s="23" t="s">
        <v>2549</v>
      </c>
      <c r="D866" s="23" t="s">
        <v>3660</v>
      </c>
      <c r="E866" s="23" t="s">
        <v>3657</v>
      </c>
      <c r="F866" s="23">
        <v>15</v>
      </c>
      <c r="G866" s="23">
        <v>2869.14</v>
      </c>
      <c r="H866" s="23">
        <v>43037.1</v>
      </c>
    </row>
    <row r="867" spans="1:8">
      <c r="A867" s="27">
        <v>44961</v>
      </c>
      <c r="B867" s="23" t="s">
        <v>1535</v>
      </c>
      <c r="C867" s="23" t="s">
        <v>2549</v>
      </c>
      <c r="D867" s="23" t="s">
        <v>3654</v>
      </c>
      <c r="E867" s="23" t="s">
        <v>1514</v>
      </c>
      <c r="F867" s="23">
        <v>17</v>
      </c>
      <c r="G867" s="23">
        <v>4100.2700000000004</v>
      </c>
      <c r="H867" s="23">
        <v>69704.59</v>
      </c>
    </row>
    <row r="868" spans="1:8">
      <c r="A868" s="27">
        <v>45227</v>
      </c>
      <c r="B868" s="23" t="s">
        <v>1537</v>
      </c>
      <c r="C868" s="23" t="s">
        <v>2550</v>
      </c>
      <c r="D868" s="23" t="s">
        <v>3656</v>
      </c>
      <c r="E868" s="23" t="s">
        <v>1517</v>
      </c>
      <c r="F868" s="23">
        <v>3</v>
      </c>
      <c r="G868" s="23">
        <v>2756.83</v>
      </c>
      <c r="H868" s="23">
        <v>8270.49</v>
      </c>
    </row>
    <row r="869" spans="1:8">
      <c r="A869" s="27">
        <v>45278</v>
      </c>
      <c r="B869" s="23" t="s">
        <v>1537</v>
      </c>
      <c r="C869" s="23" t="s">
        <v>2550</v>
      </c>
      <c r="D869" s="23" t="s">
        <v>3658</v>
      </c>
      <c r="E869" s="23" t="s">
        <v>1516</v>
      </c>
      <c r="F869" s="23">
        <v>13</v>
      </c>
      <c r="G869" s="23">
        <v>2829.47</v>
      </c>
      <c r="H869" s="23">
        <v>36783.11</v>
      </c>
    </row>
    <row r="870" spans="1:8">
      <c r="A870" s="27">
        <v>45032</v>
      </c>
      <c r="B870" s="23" t="s">
        <v>1535</v>
      </c>
      <c r="C870" s="23" t="s">
        <v>2548</v>
      </c>
      <c r="D870" s="23" t="s">
        <v>3664</v>
      </c>
      <c r="E870" s="23" t="s">
        <v>3657</v>
      </c>
      <c r="F870" s="23">
        <v>17</v>
      </c>
      <c r="G870" s="23">
        <v>1340.98</v>
      </c>
      <c r="H870" s="23">
        <v>22796.66</v>
      </c>
    </row>
    <row r="871" spans="1:8">
      <c r="A871" s="27">
        <v>44985</v>
      </c>
      <c r="B871" s="23" t="s">
        <v>1537</v>
      </c>
      <c r="C871" s="23" t="s">
        <v>2552</v>
      </c>
      <c r="D871" s="23" t="s">
        <v>3655</v>
      </c>
      <c r="E871" s="23" t="s">
        <v>1518</v>
      </c>
      <c r="F871" s="23">
        <v>10</v>
      </c>
      <c r="G871" s="23">
        <v>429.69</v>
      </c>
      <c r="H871" s="23">
        <v>4296.8999999999996</v>
      </c>
    </row>
    <row r="872" spans="1:8">
      <c r="A872" s="27">
        <v>45105</v>
      </c>
      <c r="B872" s="23" t="s">
        <v>1535</v>
      </c>
      <c r="C872" s="23" t="s">
        <v>2549</v>
      </c>
      <c r="D872" s="23" t="s">
        <v>3660</v>
      </c>
      <c r="E872" s="23" t="s">
        <v>1518</v>
      </c>
      <c r="F872" s="23">
        <v>17</v>
      </c>
      <c r="G872" s="23">
        <v>4982.8100000000004</v>
      </c>
      <c r="H872" s="23">
        <v>84707.77</v>
      </c>
    </row>
    <row r="873" spans="1:8">
      <c r="A873" s="27">
        <v>45049</v>
      </c>
      <c r="B873" s="23" t="s">
        <v>1535</v>
      </c>
      <c r="C873" s="23" t="s">
        <v>2549</v>
      </c>
      <c r="D873" s="23" t="s">
        <v>3654</v>
      </c>
      <c r="E873" s="23" t="s">
        <v>1516</v>
      </c>
      <c r="F873" s="23">
        <v>19</v>
      </c>
      <c r="G873" s="23">
        <v>4137.4399999999996</v>
      </c>
      <c r="H873" s="23">
        <v>78611.360000000001</v>
      </c>
    </row>
    <row r="874" spans="1:8">
      <c r="A874" s="27">
        <v>45205</v>
      </c>
      <c r="B874" s="23" t="s">
        <v>1538</v>
      </c>
      <c r="C874" s="23" t="s">
        <v>2551</v>
      </c>
      <c r="D874" s="23" t="s">
        <v>3659</v>
      </c>
      <c r="E874" s="23" t="s">
        <v>1514</v>
      </c>
      <c r="F874" s="23">
        <v>4</v>
      </c>
      <c r="G874" s="23">
        <v>1147.06</v>
      </c>
      <c r="H874" s="23">
        <v>4588.24</v>
      </c>
    </row>
    <row r="875" spans="1:8">
      <c r="A875" s="27">
        <v>44975</v>
      </c>
      <c r="B875" s="23" t="s">
        <v>1537</v>
      </c>
      <c r="C875" s="23" t="s">
        <v>2552</v>
      </c>
      <c r="D875" s="23" t="s">
        <v>3655</v>
      </c>
      <c r="E875" s="23" t="s">
        <v>3657</v>
      </c>
      <c r="F875" s="23">
        <v>15</v>
      </c>
      <c r="G875" s="23">
        <v>1972.75</v>
      </c>
      <c r="H875" s="23">
        <v>29591.25</v>
      </c>
    </row>
    <row r="876" spans="1:8">
      <c r="A876" s="27">
        <v>45121</v>
      </c>
      <c r="B876" s="23" t="s">
        <v>1538</v>
      </c>
      <c r="C876" s="23" t="s">
        <v>2551</v>
      </c>
      <c r="D876" s="23" t="s">
        <v>3659</v>
      </c>
      <c r="E876" s="23" t="s">
        <v>1514</v>
      </c>
      <c r="F876" s="23">
        <v>16</v>
      </c>
      <c r="G876" s="23">
        <v>1192.3800000000001</v>
      </c>
      <c r="H876" s="23">
        <v>19078.080000000002</v>
      </c>
    </row>
    <row r="877" spans="1:8">
      <c r="A877" s="27">
        <v>45113</v>
      </c>
      <c r="B877" s="23" t="s">
        <v>1535</v>
      </c>
      <c r="C877" s="23" t="s">
        <v>2549</v>
      </c>
      <c r="D877" s="23" t="s">
        <v>3660</v>
      </c>
      <c r="E877" s="23" t="s">
        <v>1518</v>
      </c>
      <c r="F877" s="23">
        <v>5</v>
      </c>
      <c r="G877" s="23">
        <v>2545.9299999999998</v>
      </c>
      <c r="H877" s="23">
        <v>12729.65</v>
      </c>
    </row>
    <row r="878" spans="1:8">
      <c r="A878" s="27">
        <v>45074</v>
      </c>
      <c r="B878" s="23" t="s">
        <v>1537</v>
      </c>
      <c r="C878" s="23" t="s">
        <v>2550</v>
      </c>
      <c r="D878" s="23" t="s">
        <v>3661</v>
      </c>
      <c r="E878" s="23" t="s">
        <v>1514</v>
      </c>
      <c r="F878" s="23">
        <v>20</v>
      </c>
      <c r="G878" s="23">
        <v>2860.96</v>
      </c>
      <c r="H878" s="23">
        <v>57219.199999999997</v>
      </c>
    </row>
    <row r="879" spans="1:8">
      <c r="A879" s="27">
        <v>45039</v>
      </c>
      <c r="B879" s="23" t="s">
        <v>1535</v>
      </c>
      <c r="C879" s="23" t="s">
        <v>2549</v>
      </c>
      <c r="D879" s="23" t="s">
        <v>3654</v>
      </c>
      <c r="E879" s="23" t="s">
        <v>1514</v>
      </c>
      <c r="F879" s="23">
        <v>14</v>
      </c>
      <c r="G879" s="23">
        <v>2775.33</v>
      </c>
      <c r="H879" s="23">
        <v>38854.620000000003</v>
      </c>
    </row>
    <row r="880" spans="1:8">
      <c r="A880" s="27">
        <v>45039</v>
      </c>
      <c r="B880" s="23" t="s">
        <v>1537</v>
      </c>
      <c r="C880" s="23" t="s">
        <v>2552</v>
      </c>
      <c r="D880" s="23" t="s">
        <v>3667</v>
      </c>
      <c r="E880" s="23" t="s">
        <v>1518</v>
      </c>
      <c r="F880" s="23">
        <v>15</v>
      </c>
      <c r="G880" s="23">
        <v>3285.68</v>
      </c>
      <c r="H880" s="23">
        <v>49285.2</v>
      </c>
    </row>
    <row r="881" spans="1:8">
      <c r="A881" s="27">
        <v>45225</v>
      </c>
      <c r="B881" s="23" t="s">
        <v>1537</v>
      </c>
      <c r="C881" s="23" t="s">
        <v>2552</v>
      </c>
      <c r="D881" s="23" t="s">
        <v>3667</v>
      </c>
      <c r="E881" s="23" t="s">
        <v>1517</v>
      </c>
      <c r="F881" s="23">
        <v>18</v>
      </c>
      <c r="G881" s="23">
        <v>1132.04</v>
      </c>
      <c r="H881" s="23">
        <v>20376.72</v>
      </c>
    </row>
    <row r="882" spans="1:8">
      <c r="A882" s="27">
        <v>45083</v>
      </c>
      <c r="B882" s="23" t="s">
        <v>1535</v>
      </c>
      <c r="C882" s="23" t="s">
        <v>2549</v>
      </c>
      <c r="D882" s="23" t="s">
        <v>3654</v>
      </c>
      <c r="E882" s="23" t="s">
        <v>1517</v>
      </c>
      <c r="F882" s="23">
        <v>6</v>
      </c>
      <c r="G882" s="23">
        <v>1205.3599999999999</v>
      </c>
      <c r="H882" s="23">
        <v>7232.16</v>
      </c>
    </row>
    <row r="883" spans="1:8">
      <c r="A883" s="27">
        <v>45144</v>
      </c>
      <c r="B883" s="23" t="s">
        <v>1535</v>
      </c>
      <c r="C883" s="23" t="s">
        <v>2548</v>
      </c>
      <c r="D883" s="23" t="s">
        <v>3664</v>
      </c>
      <c r="E883" s="23" t="s">
        <v>3657</v>
      </c>
      <c r="F883" s="23">
        <v>20</v>
      </c>
      <c r="G883" s="23">
        <v>4944.01</v>
      </c>
      <c r="H883" s="23">
        <v>98880.2</v>
      </c>
    </row>
    <row r="884" spans="1:8">
      <c r="A884" s="27">
        <v>45181</v>
      </c>
      <c r="B884" s="23" t="s">
        <v>1537</v>
      </c>
      <c r="C884" s="23" t="s">
        <v>2552</v>
      </c>
      <c r="D884" s="23" t="s">
        <v>3662</v>
      </c>
      <c r="E884" s="23" t="s">
        <v>1518</v>
      </c>
      <c r="F884" s="23">
        <v>11</v>
      </c>
      <c r="G884" s="23">
        <v>268.13</v>
      </c>
      <c r="H884" s="23">
        <v>2949.43</v>
      </c>
    </row>
    <row r="885" spans="1:8">
      <c r="A885" s="27">
        <v>45112</v>
      </c>
      <c r="B885" s="23" t="s">
        <v>1538</v>
      </c>
      <c r="C885" s="23" t="s">
        <v>2551</v>
      </c>
      <c r="D885" s="23" t="s">
        <v>3659</v>
      </c>
      <c r="E885" s="23" t="s">
        <v>1518</v>
      </c>
      <c r="F885" s="23">
        <v>14</v>
      </c>
      <c r="G885" s="23">
        <v>564.63</v>
      </c>
      <c r="H885" s="23">
        <v>7904.82</v>
      </c>
    </row>
    <row r="886" spans="1:8">
      <c r="A886" s="27">
        <v>45090</v>
      </c>
      <c r="B886" s="23" t="s">
        <v>1538</v>
      </c>
      <c r="C886" s="23" t="s">
        <v>2551</v>
      </c>
      <c r="D886" s="23" t="s">
        <v>3668</v>
      </c>
      <c r="E886" s="23" t="s">
        <v>3657</v>
      </c>
      <c r="F886" s="23">
        <v>5</v>
      </c>
      <c r="G886" s="23">
        <v>1412.08</v>
      </c>
      <c r="H886" s="23">
        <v>7060.4</v>
      </c>
    </row>
    <row r="887" spans="1:8">
      <c r="A887" s="27">
        <v>45074</v>
      </c>
      <c r="B887" s="23" t="s">
        <v>1537</v>
      </c>
      <c r="C887" s="23" t="s">
        <v>2552</v>
      </c>
      <c r="D887" s="23" t="s">
        <v>3662</v>
      </c>
      <c r="E887" s="23" t="s">
        <v>1517</v>
      </c>
      <c r="F887" s="23">
        <v>2</v>
      </c>
      <c r="G887" s="23">
        <v>4019.4</v>
      </c>
      <c r="H887" s="23">
        <v>8038.8</v>
      </c>
    </row>
    <row r="888" spans="1:8">
      <c r="A888" s="27">
        <v>45104</v>
      </c>
      <c r="B888" s="23" t="s">
        <v>1535</v>
      </c>
      <c r="C888" s="23" t="s">
        <v>2549</v>
      </c>
      <c r="D888" s="23" t="s">
        <v>3665</v>
      </c>
      <c r="E888" s="23" t="s">
        <v>1516</v>
      </c>
      <c r="F888" s="23">
        <v>12</v>
      </c>
      <c r="G888" s="23">
        <v>3076.03</v>
      </c>
      <c r="H888" s="23">
        <v>36912.36</v>
      </c>
    </row>
    <row r="889" spans="1:8">
      <c r="A889" s="27">
        <v>45008</v>
      </c>
      <c r="B889" s="23" t="s">
        <v>1538</v>
      </c>
      <c r="C889" s="23" t="s">
        <v>2551</v>
      </c>
      <c r="D889" s="23" t="s">
        <v>3659</v>
      </c>
      <c r="E889" s="23" t="s">
        <v>1516</v>
      </c>
      <c r="F889" s="23">
        <v>2</v>
      </c>
      <c r="G889" s="23">
        <v>233.75</v>
      </c>
      <c r="H889" s="23">
        <v>467.5</v>
      </c>
    </row>
    <row r="890" spans="1:8">
      <c r="A890" s="27">
        <v>45027</v>
      </c>
      <c r="B890" s="23" t="s">
        <v>1535</v>
      </c>
      <c r="C890" s="23" t="s">
        <v>2549</v>
      </c>
      <c r="D890" s="23" t="s">
        <v>3654</v>
      </c>
      <c r="E890" s="23" t="s">
        <v>1518</v>
      </c>
      <c r="F890" s="23">
        <v>9</v>
      </c>
      <c r="G890" s="23">
        <v>2376.12</v>
      </c>
      <c r="H890" s="23">
        <v>21385.08</v>
      </c>
    </row>
    <row r="891" spans="1:8">
      <c r="A891" s="27">
        <v>45107</v>
      </c>
      <c r="B891" s="23" t="s">
        <v>1537</v>
      </c>
      <c r="C891" s="23" t="s">
        <v>2552</v>
      </c>
      <c r="D891" s="23" t="s">
        <v>3667</v>
      </c>
      <c r="E891" s="23" t="s">
        <v>1517</v>
      </c>
      <c r="F891" s="23">
        <v>20</v>
      </c>
      <c r="G891" s="23">
        <v>603.49</v>
      </c>
      <c r="H891" s="23">
        <v>12069.8</v>
      </c>
    </row>
    <row r="892" spans="1:8">
      <c r="A892" s="27">
        <v>45069</v>
      </c>
      <c r="B892" s="23" t="s">
        <v>1537</v>
      </c>
      <c r="C892" s="23" t="s">
        <v>2552</v>
      </c>
      <c r="D892" s="23" t="s">
        <v>3655</v>
      </c>
      <c r="E892" s="23" t="s">
        <v>3657</v>
      </c>
      <c r="F892" s="23">
        <v>15</v>
      </c>
      <c r="G892" s="23">
        <v>4269.32</v>
      </c>
      <c r="H892" s="23">
        <v>64039.8</v>
      </c>
    </row>
    <row r="893" spans="1:8">
      <c r="A893" s="27">
        <v>45192</v>
      </c>
      <c r="B893" s="23" t="s">
        <v>1535</v>
      </c>
      <c r="C893" s="23" t="s">
        <v>2549</v>
      </c>
      <c r="D893" s="23" t="s">
        <v>3654</v>
      </c>
      <c r="E893" s="23" t="s">
        <v>1514</v>
      </c>
      <c r="F893" s="23">
        <v>6</v>
      </c>
      <c r="G893" s="23">
        <v>686.38</v>
      </c>
      <c r="H893" s="23">
        <v>4118.28</v>
      </c>
    </row>
    <row r="894" spans="1:8">
      <c r="A894" s="27">
        <v>45108</v>
      </c>
      <c r="B894" s="23" t="s">
        <v>1538</v>
      </c>
      <c r="C894" s="23" t="s">
        <v>2551</v>
      </c>
      <c r="D894" s="23" t="s">
        <v>3669</v>
      </c>
      <c r="E894" s="23" t="s">
        <v>1517</v>
      </c>
      <c r="F894" s="23">
        <v>14</v>
      </c>
      <c r="G894" s="23">
        <v>2429.23</v>
      </c>
      <c r="H894" s="23">
        <v>34009.22</v>
      </c>
    </row>
    <row r="895" spans="1:8">
      <c r="A895" s="27">
        <v>44960</v>
      </c>
      <c r="B895" s="23" t="s">
        <v>1535</v>
      </c>
      <c r="C895" s="23" t="s">
        <v>2548</v>
      </c>
      <c r="D895" s="23" t="s">
        <v>3666</v>
      </c>
      <c r="E895" s="23" t="s">
        <v>3657</v>
      </c>
      <c r="F895" s="23">
        <v>5</v>
      </c>
      <c r="G895" s="23">
        <v>3770.46</v>
      </c>
      <c r="H895" s="23">
        <v>18852.3</v>
      </c>
    </row>
    <row r="896" spans="1:8">
      <c r="A896" s="27">
        <v>45278</v>
      </c>
      <c r="B896" s="23" t="s">
        <v>1535</v>
      </c>
      <c r="C896" s="23" t="s">
        <v>2548</v>
      </c>
      <c r="D896" s="23" t="s">
        <v>3666</v>
      </c>
      <c r="E896" s="23" t="s">
        <v>1518</v>
      </c>
      <c r="F896" s="23">
        <v>5</v>
      </c>
      <c r="G896" s="23">
        <v>2162.08</v>
      </c>
      <c r="H896" s="23">
        <v>10810.4</v>
      </c>
    </row>
    <row r="897" spans="1:8">
      <c r="A897" s="27">
        <v>45128</v>
      </c>
      <c r="B897" s="23" t="s">
        <v>1538</v>
      </c>
      <c r="C897" s="23" t="s">
        <v>2551</v>
      </c>
      <c r="D897" s="23" t="s">
        <v>3669</v>
      </c>
      <c r="E897" s="23" t="s">
        <v>3657</v>
      </c>
      <c r="F897" s="23">
        <v>6</v>
      </c>
      <c r="G897" s="23">
        <v>1366.98</v>
      </c>
      <c r="H897" s="23">
        <v>8201.8799999999992</v>
      </c>
    </row>
    <row r="898" spans="1:8">
      <c r="A898" s="27">
        <v>45186</v>
      </c>
      <c r="B898" s="23" t="s">
        <v>1538</v>
      </c>
      <c r="C898" s="23" t="s">
        <v>2551</v>
      </c>
      <c r="D898" s="23" t="s">
        <v>3659</v>
      </c>
      <c r="E898" s="23" t="s">
        <v>1516</v>
      </c>
      <c r="F898" s="23">
        <v>7</v>
      </c>
      <c r="G898" s="23">
        <v>3063.53</v>
      </c>
      <c r="H898" s="23">
        <v>21444.71</v>
      </c>
    </row>
    <row r="899" spans="1:8">
      <c r="A899" s="27">
        <v>45010</v>
      </c>
      <c r="B899" s="23" t="s">
        <v>1537</v>
      </c>
      <c r="C899" s="23" t="s">
        <v>2550</v>
      </c>
      <c r="D899" s="23" t="s">
        <v>3661</v>
      </c>
      <c r="E899" s="23" t="s">
        <v>3657</v>
      </c>
      <c r="F899" s="23">
        <v>17</v>
      </c>
      <c r="G899" s="23">
        <v>578.88</v>
      </c>
      <c r="H899" s="23">
        <v>9840.9599999999991</v>
      </c>
    </row>
    <row r="900" spans="1:8">
      <c r="A900" s="27">
        <v>45107</v>
      </c>
      <c r="B900" s="23" t="s">
        <v>1538</v>
      </c>
      <c r="C900" s="23" t="s">
        <v>2551</v>
      </c>
      <c r="D900" s="23" t="s">
        <v>3669</v>
      </c>
      <c r="E900" s="23" t="s">
        <v>1514</v>
      </c>
      <c r="F900" s="23">
        <v>12</v>
      </c>
      <c r="G900" s="23">
        <v>3981.34</v>
      </c>
      <c r="H900" s="23">
        <v>47776.08</v>
      </c>
    </row>
    <row r="901" spans="1:8">
      <c r="A901" s="27">
        <v>44979</v>
      </c>
      <c r="B901" s="23" t="s">
        <v>1537</v>
      </c>
      <c r="C901" s="23" t="s">
        <v>2552</v>
      </c>
      <c r="D901" s="23" t="s">
        <v>3655</v>
      </c>
      <c r="E901" s="23" t="s">
        <v>1516</v>
      </c>
      <c r="F901" s="23">
        <v>20</v>
      </c>
      <c r="G901" s="23">
        <v>2750.28</v>
      </c>
      <c r="H901" s="23">
        <v>55005.599999999999</v>
      </c>
    </row>
    <row r="902" spans="1:8">
      <c r="A902" s="27">
        <v>45176</v>
      </c>
      <c r="B902" s="23" t="s">
        <v>1535</v>
      </c>
      <c r="C902" s="23" t="s">
        <v>2549</v>
      </c>
      <c r="D902" s="23" t="s">
        <v>3654</v>
      </c>
      <c r="E902" s="23" t="s">
        <v>1516</v>
      </c>
      <c r="F902" s="23">
        <v>13</v>
      </c>
      <c r="G902" s="23">
        <v>2809.29</v>
      </c>
      <c r="H902" s="23">
        <v>36520.769999999997</v>
      </c>
    </row>
    <row r="903" spans="1:8">
      <c r="A903" s="27">
        <v>44947</v>
      </c>
      <c r="B903" s="23" t="s">
        <v>1537</v>
      </c>
      <c r="C903" s="23" t="s">
        <v>2550</v>
      </c>
      <c r="D903" s="23" t="s">
        <v>3658</v>
      </c>
      <c r="E903" s="23" t="s">
        <v>1518</v>
      </c>
      <c r="F903" s="23">
        <v>14</v>
      </c>
      <c r="G903" s="23">
        <v>1487.12</v>
      </c>
      <c r="H903" s="23">
        <v>20819.68</v>
      </c>
    </row>
    <row r="904" spans="1:8">
      <c r="A904" s="27">
        <v>45285</v>
      </c>
      <c r="B904" s="23" t="s">
        <v>1537</v>
      </c>
      <c r="C904" s="23" t="s">
        <v>2550</v>
      </c>
      <c r="D904" s="23" t="s">
        <v>3656</v>
      </c>
      <c r="E904" s="23" t="s">
        <v>1514</v>
      </c>
      <c r="F904" s="23">
        <v>18</v>
      </c>
      <c r="G904" s="23">
        <v>1279.4100000000001</v>
      </c>
      <c r="H904" s="23">
        <v>23029.38</v>
      </c>
    </row>
    <row r="905" spans="1:8">
      <c r="A905" s="27">
        <v>44951</v>
      </c>
      <c r="B905" s="23" t="s">
        <v>1535</v>
      </c>
      <c r="C905" s="23" t="s">
        <v>2549</v>
      </c>
      <c r="D905" s="23" t="s">
        <v>3665</v>
      </c>
      <c r="E905" s="23" t="s">
        <v>1517</v>
      </c>
      <c r="F905" s="23">
        <v>2</v>
      </c>
      <c r="G905" s="23">
        <v>4439.5</v>
      </c>
      <c r="H905" s="23">
        <v>8879</v>
      </c>
    </row>
    <row r="906" spans="1:8">
      <c r="A906" s="27">
        <v>45023</v>
      </c>
      <c r="B906" s="23" t="s">
        <v>1535</v>
      </c>
      <c r="C906" s="23" t="s">
        <v>2549</v>
      </c>
      <c r="D906" s="23" t="s">
        <v>3654</v>
      </c>
      <c r="E906" s="23" t="s">
        <v>1518</v>
      </c>
      <c r="F906" s="23">
        <v>13</v>
      </c>
      <c r="G906" s="23">
        <v>4850.17</v>
      </c>
      <c r="H906" s="23">
        <v>63052.21</v>
      </c>
    </row>
    <row r="907" spans="1:8">
      <c r="A907" s="27">
        <v>45070</v>
      </c>
      <c r="B907" s="23" t="s">
        <v>1535</v>
      </c>
      <c r="C907" s="23" t="s">
        <v>2549</v>
      </c>
      <c r="D907" s="23" t="s">
        <v>3660</v>
      </c>
      <c r="E907" s="23" t="s">
        <v>1517</v>
      </c>
      <c r="F907" s="23">
        <v>4</v>
      </c>
      <c r="G907" s="23">
        <v>2792.23</v>
      </c>
      <c r="H907" s="23">
        <v>11168.92</v>
      </c>
    </row>
    <row r="908" spans="1:8">
      <c r="A908" s="27">
        <v>45140</v>
      </c>
      <c r="B908" s="23" t="s">
        <v>1535</v>
      </c>
      <c r="C908" s="23" t="s">
        <v>2548</v>
      </c>
      <c r="D908" s="23" t="s">
        <v>3663</v>
      </c>
      <c r="E908" s="23" t="s">
        <v>1518</v>
      </c>
      <c r="F908" s="23">
        <v>17</v>
      </c>
      <c r="G908" s="23">
        <v>4953.04</v>
      </c>
      <c r="H908" s="23">
        <v>84201.68</v>
      </c>
    </row>
    <row r="909" spans="1:8">
      <c r="A909" s="27">
        <v>45198</v>
      </c>
      <c r="B909" s="23" t="s">
        <v>1537</v>
      </c>
      <c r="C909" s="23" t="s">
        <v>2552</v>
      </c>
      <c r="D909" s="23" t="s">
        <v>3655</v>
      </c>
      <c r="E909" s="23" t="s">
        <v>1518</v>
      </c>
      <c r="F909" s="23">
        <v>14</v>
      </c>
      <c r="G909" s="23">
        <v>4192.8599999999997</v>
      </c>
      <c r="H909" s="23">
        <v>58700.04</v>
      </c>
    </row>
    <row r="910" spans="1:8">
      <c r="A910" s="27">
        <v>45134</v>
      </c>
      <c r="B910" s="23" t="s">
        <v>1537</v>
      </c>
      <c r="C910" s="23" t="s">
        <v>2552</v>
      </c>
      <c r="D910" s="23" t="s">
        <v>3667</v>
      </c>
      <c r="E910" s="23" t="s">
        <v>1517</v>
      </c>
      <c r="F910" s="23">
        <v>19</v>
      </c>
      <c r="G910" s="23">
        <v>2848.96</v>
      </c>
      <c r="H910" s="23">
        <v>54130.239999999998</v>
      </c>
    </row>
    <row r="911" spans="1:8">
      <c r="A911" s="27">
        <v>45199</v>
      </c>
      <c r="B911" s="23" t="s">
        <v>1535</v>
      </c>
      <c r="C911" s="23" t="s">
        <v>2549</v>
      </c>
      <c r="D911" s="23" t="s">
        <v>3654</v>
      </c>
      <c r="E911" s="23" t="s">
        <v>1518</v>
      </c>
      <c r="F911" s="23">
        <v>12</v>
      </c>
      <c r="G911" s="23">
        <v>1352.89</v>
      </c>
      <c r="H911" s="23">
        <v>16234.68</v>
      </c>
    </row>
    <row r="912" spans="1:8">
      <c r="A912" s="27">
        <v>45101</v>
      </c>
      <c r="B912" s="23" t="s">
        <v>1537</v>
      </c>
      <c r="C912" s="23" t="s">
        <v>2550</v>
      </c>
      <c r="D912" s="23" t="s">
        <v>3661</v>
      </c>
      <c r="E912" s="23" t="s">
        <v>1517</v>
      </c>
      <c r="F912" s="23">
        <v>14</v>
      </c>
      <c r="G912" s="23">
        <v>264.60000000000002</v>
      </c>
      <c r="H912" s="23">
        <v>3704.4</v>
      </c>
    </row>
    <row r="913" spans="1:8">
      <c r="A913" s="27">
        <v>45115</v>
      </c>
      <c r="B913" s="23" t="s">
        <v>1537</v>
      </c>
      <c r="C913" s="23" t="s">
        <v>2552</v>
      </c>
      <c r="D913" s="23" t="s">
        <v>3655</v>
      </c>
      <c r="E913" s="23" t="s">
        <v>1518</v>
      </c>
      <c r="F913" s="23">
        <v>17</v>
      </c>
      <c r="G913" s="23">
        <v>2316.09</v>
      </c>
      <c r="H913" s="23">
        <v>39373.53</v>
      </c>
    </row>
    <row r="914" spans="1:8">
      <c r="A914" s="27">
        <v>45123</v>
      </c>
      <c r="B914" s="23" t="s">
        <v>1535</v>
      </c>
      <c r="C914" s="23" t="s">
        <v>2549</v>
      </c>
      <c r="D914" s="23" t="s">
        <v>3665</v>
      </c>
      <c r="E914" s="23" t="s">
        <v>1518</v>
      </c>
      <c r="F914" s="23">
        <v>8</v>
      </c>
      <c r="G914" s="23">
        <v>1371.28</v>
      </c>
      <c r="H914" s="23">
        <v>10970.24</v>
      </c>
    </row>
    <row r="915" spans="1:8">
      <c r="A915" s="27">
        <v>44958</v>
      </c>
      <c r="B915" s="23" t="s">
        <v>1538</v>
      </c>
      <c r="C915" s="23" t="s">
        <v>2551</v>
      </c>
      <c r="D915" s="23" t="s">
        <v>3659</v>
      </c>
      <c r="E915" s="23" t="s">
        <v>1516</v>
      </c>
      <c r="F915" s="23">
        <v>10</v>
      </c>
      <c r="G915" s="23">
        <v>4298.32</v>
      </c>
      <c r="H915" s="23">
        <v>42983.199999999997</v>
      </c>
    </row>
    <row r="916" spans="1:8">
      <c r="A916" s="27">
        <v>44989</v>
      </c>
      <c r="B916" s="23" t="s">
        <v>1537</v>
      </c>
      <c r="C916" s="23" t="s">
        <v>2552</v>
      </c>
      <c r="D916" s="23" t="s">
        <v>3667</v>
      </c>
      <c r="E916" s="23" t="s">
        <v>1516</v>
      </c>
      <c r="F916" s="23">
        <v>19</v>
      </c>
      <c r="G916" s="23">
        <v>636.20000000000005</v>
      </c>
      <c r="H916" s="23">
        <v>12087.8</v>
      </c>
    </row>
    <row r="917" spans="1:8">
      <c r="A917" s="27">
        <v>45092</v>
      </c>
      <c r="B917" s="23" t="s">
        <v>1538</v>
      </c>
      <c r="C917" s="23" t="s">
        <v>2551</v>
      </c>
      <c r="D917" s="23" t="s">
        <v>3659</v>
      </c>
      <c r="E917" s="23" t="s">
        <v>1517</v>
      </c>
      <c r="F917" s="23">
        <v>15</v>
      </c>
      <c r="G917" s="23">
        <v>3218.59</v>
      </c>
      <c r="H917" s="23">
        <v>48278.85</v>
      </c>
    </row>
    <row r="918" spans="1:8">
      <c r="A918" s="27">
        <v>45180</v>
      </c>
      <c r="B918" s="23" t="s">
        <v>1535</v>
      </c>
      <c r="C918" s="23" t="s">
        <v>2549</v>
      </c>
      <c r="D918" s="23" t="s">
        <v>3665</v>
      </c>
      <c r="E918" s="23" t="s">
        <v>3657</v>
      </c>
      <c r="F918" s="23">
        <v>9</v>
      </c>
      <c r="G918" s="23">
        <v>2660.79</v>
      </c>
      <c r="H918" s="23">
        <v>23947.11</v>
      </c>
    </row>
    <row r="919" spans="1:8">
      <c r="A919" s="27">
        <v>45168</v>
      </c>
      <c r="B919" s="23" t="s">
        <v>1538</v>
      </c>
      <c r="C919" s="23" t="s">
        <v>2551</v>
      </c>
      <c r="D919" s="23" t="s">
        <v>3659</v>
      </c>
      <c r="E919" s="23" t="s">
        <v>3657</v>
      </c>
      <c r="F919" s="23">
        <v>5</v>
      </c>
      <c r="G919" s="23">
        <v>334.29</v>
      </c>
      <c r="H919" s="23">
        <v>1671.45</v>
      </c>
    </row>
    <row r="920" spans="1:8">
      <c r="A920" s="27">
        <v>45032</v>
      </c>
      <c r="B920" s="23" t="s">
        <v>1537</v>
      </c>
      <c r="C920" s="23" t="s">
        <v>2550</v>
      </c>
      <c r="D920" s="23" t="s">
        <v>3658</v>
      </c>
      <c r="E920" s="23" t="s">
        <v>1517</v>
      </c>
      <c r="F920" s="23">
        <v>10</v>
      </c>
      <c r="G920" s="23">
        <v>2861.62</v>
      </c>
      <c r="H920" s="23">
        <v>28616.2</v>
      </c>
    </row>
    <row r="921" spans="1:8">
      <c r="A921" s="27">
        <v>45038</v>
      </c>
      <c r="B921" s="23" t="s">
        <v>1537</v>
      </c>
      <c r="C921" s="23" t="s">
        <v>2550</v>
      </c>
      <c r="D921" s="23" t="s">
        <v>3661</v>
      </c>
      <c r="E921" s="23" t="s">
        <v>1514</v>
      </c>
      <c r="F921" s="23">
        <v>4</v>
      </c>
      <c r="G921" s="23">
        <v>4782.74</v>
      </c>
      <c r="H921" s="23">
        <v>19130.96</v>
      </c>
    </row>
    <row r="922" spans="1:8">
      <c r="A922" s="27">
        <v>45097</v>
      </c>
      <c r="B922" s="23" t="s">
        <v>1537</v>
      </c>
      <c r="C922" s="23" t="s">
        <v>2550</v>
      </c>
      <c r="D922" s="23" t="s">
        <v>3661</v>
      </c>
      <c r="E922" s="23" t="s">
        <v>1516</v>
      </c>
      <c r="F922" s="23">
        <v>19</v>
      </c>
      <c r="G922" s="23">
        <v>2304.92</v>
      </c>
      <c r="H922" s="23">
        <v>43793.48</v>
      </c>
    </row>
    <row r="923" spans="1:8">
      <c r="A923" s="27">
        <v>45114</v>
      </c>
      <c r="B923" s="23" t="s">
        <v>1537</v>
      </c>
      <c r="C923" s="23" t="s">
        <v>2550</v>
      </c>
      <c r="D923" s="23" t="s">
        <v>3661</v>
      </c>
      <c r="E923" s="23" t="s">
        <v>1514</v>
      </c>
      <c r="F923" s="23">
        <v>1</v>
      </c>
      <c r="G923" s="23">
        <v>1355.14</v>
      </c>
      <c r="H923" s="23">
        <v>1355.14</v>
      </c>
    </row>
    <row r="924" spans="1:8">
      <c r="A924" s="27">
        <v>44977</v>
      </c>
      <c r="B924" s="23" t="s">
        <v>1535</v>
      </c>
      <c r="C924" s="23" t="s">
        <v>2549</v>
      </c>
      <c r="D924" s="23" t="s">
        <v>3665</v>
      </c>
      <c r="E924" s="23" t="s">
        <v>1516</v>
      </c>
      <c r="F924" s="23">
        <v>19</v>
      </c>
      <c r="G924" s="23">
        <v>3683.04</v>
      </c>
      <c r="H924" s="23">
        <v>69977.759999999995</v>
      </c>
    </row>
    <row r="925" spans="1:8">
      <c r="A925" s="27">
        <v>45133</v>
      </c>
      <c r="B925" s="23" t="s">
        <v>1537</v>
      </c>
      <c r="C925" s="23" t="s">
        <v>2550</v>
      </c>
      <c r="D925" s="23" t="s">
        <v>3661</v>
      </c>
      <c r="E925" s="23" t="s">
        <v>1516</v>
      </c>
      <c r="F925" s="23">
        <v>5</v>
      </c>
      <c r="G925" s="23">
        <v>4281.1499999999996</v>
      </c>
      <c r="H925" s="23">
        <v>21405.75</v>
      </c>
    </row>
    <row r="926" spans="1:8">
      <c r="A926" s="27">
        <v>45156</v>
      </c>
      <c r="B926" s="23" t="s">
        <v>1537</v>
      </c>
      <c r="C926" s="23" t="s">
        <v>2550</v>
      </c>
      <c r="D926" s="23" t="s">
        <v>3658</v>
      </c>
      <c r="E926" s="23" t="s">
        <v>1518</v>
      </c>
      <c r="F926" s="23">
        <v>3</v>
      </c>
      <c r="G926" s="23">
        <v>1577.9</v>
      </c>
      <c r="H926" s="23">
        <v>4733.7</v>
      </c>
    </row>
    <row r="927" spans="1:8">
      <c r="A927" s="27">
        <v>44996</v>
      </c>
      <c r="B927" s="23" t="s">
        <v>1537</v>
      </c>
      <c r="C927" s="23" t="s">
        <v>2550</v>
      </c>
      <c r="D927" s="23" t="s">
        <v>3658</v>
      </c>
      <c r="E927" s="23" t="s">
        <v>1516</v>
      </c>
      <c r="F927" s="23">
        <v>19</v>
      </c>
      <c r="G927" s="23">
        <v>2814.94</v>
      </c>
      <c r="H927" s="23">
        <v>53483.86</v>
      </c>
    </row>
    <row r="928" spans="1:8">
      <c r="A928" s="27">
        <v>45280</v>
      </c>
      <c r="B928" s="23" t="s">
        <v>1537</v>
      </c>
      <c r="C928" s="23" t="s">
        <v>2552</v>
      </c>
      <c r="D928" s="23" t="s">
        <v>3655</v>
      </c>
      <c r="E928" s="23" t="s">
        <v>3657</v>
      </c>
      <c r="F928" s="23">
        <v>13</v>
      </c>
      <c r="G928" s="23">
        <v>512.69000000000005</v>
      </c>
      <c r="H928" s="23">
        <v>6664.97</v>
      </c>
    </row>
    <row r="929" spans="1:8">
      <c r="A929" s="27">
        <v>45024</v>
      </c>
      <c r="B929" s="23" t="s">
        <v>1538</v>
      </c>
      <c r="C929" s="23" t="s">
        <v>2551</v>
      </c>
      <c r="D929" s="23" t="s">
        <v>3669</v>
      </c>
      <c r="E929" s="23" t="s">
        <v>3657</v>
      </c>
      <c r="F929" s="23">
        <v>6</v>
      </c>
      <c r="G929" s="23">
        <v>4939.09</v>
      </c>
      <c r="H929" s="23">
        <v>29634.54</v>
      </c>
    </row>
    <row r="930" spans="1:8">
      <c r="A930" s="27">
        <v>45003</v>
      </c>
      <c r="B930" s="23" t="s">
        <v>1538</v>
      </c>
      <c r="C930" s="23" t="s">
        <v>2551</v>
      </c>
      <c r="D930" s="23" t="s">
        <v>3659</v>
      </c>
      <c r="E930" s="23" t="s">
        <v>1516</v>
      </c>
      <c r="F930" s="23">
        <v>6</v>
      </c>
      <c r="G930" s="23">
        <v>4984.92</v>
      </c>
      <c r="H930" s="23">
        <v>29909.52</v>
      </c>
    </row>
    <row r="931" spans="1:8">
      <c r="A931" s="27">
        <v>45198</v>
      </c>
      <c r="B931" s="23" t="s">
        <v>1535</v>
      </c>
      <c r="C931" s="23" t="s">
        <v>2549</v>
      </c>
      <c r="D931" s="23" t="s">
        <v>3665</v>
      </c>
      <c r="E931" s="23" t="s">
        <v>1518</v>
      </c>
      <c r="F931" s="23">
        <v>9</v>
      </c>
      <c r="G931" s="23">
        <v>1001.37</v>
      </c>
      <c r="H931" s="23">
        <v>9012.33</v>
      </c>
    </row>
    <row r="932" spans="1:8">
      <c r="A932" s="27">
        <v>45016</v>
      </c>
      <c r="B932" s="23" t="s">
        <v>1537</v>
      </c>
      <c r="C932" s="23" t="s">
        <v>2550</v>
      </c>
      <c r="D932" s="23" t="s">
        <v>3656</v>
      </c>
      <c r="E932" s="23" t="s">
        <v>1516</v>
      </c>
      <c r="F932" s="23">
        <v>17</v>
      </c>
      <c r="G932" s="23">
        <v>4515.21</v>
      </c>
      <c r="H932" s="23">
        <v>76758.570000000007</v>
      </c>
    </row>
    <row r="933" spans="1:8">
      <c r="A933" s="27">
        <v>45243</v>
      </c>
      <c r="B933" s="23" t="s">
        <v>1538</v>
      </c>
      <c r="C933" s="23" t="s">
        <v>2551</v>
      </c>
      <c r="D933" s="23" t="s">
        <v>3668</v>
      </c>
      <c r="E933" s="23" t="s">
        <v>1517</v>
      </c>
      <c r="F933" s="23">
        <v>19</v>
      </c>
      <c r="G933" s="23">
        <v>2532.7800000000002</v>
      </c>
      <c r="H933" s="23">
        <v>48122.82</v>
      </c>
    </row>
    <row r="934" spans="1:8">
      <c r="A934" s="27">
        <v>45260</v>
      </c>
      <c r="B934" s="23" t="s">
        <v>1537</v>
      </c>
      <c r="C934" s="23" t="s">
        <v>2550</v>
      </c>
      <c r="D934" s="23" t="s">
        <v>3658</v>
      </c>
      <c r="E934" s="23" t="s">
        <v>1517</v>
      </c>
      <c r="F934" s="23">
        <v>17</v>
      </c>
      <c r="G934" s="23">
        <v>4890.5</v>
      </c>
      <c r="H934" s="23">
        <v>83138.5</v>
      </c>
    </row>
    <row r="935" spans="1:8">
      <c r="A935" s="27">
        <v>45161</v>
      </c>
      <c r="B935" s="23" t="s">
        <v>1537</v>
      </c>
      <c r="C935" s="23" t="s">
        <v>2550</v>
      </c>
      <c r="D935" s="23" t="s">
        <v>3658</v>
      </c>
      <c r="E935" s="23" t="s">
        <v>3657</v>
      </c>
      <c r="F935" s="23">
        <v>3</v>
      </c>
      <c r="G935" s="23">
        <v>1076.57</v>
      </c>
      <c r="H935" s="23">
        <v>3229.71</v>
      </c>
    </row>
    <row r="936" spans="1:8">
      <c r="A936" s="27">
        <v>45204</v>
      </c>
      <c r="B936" s="23" t="s">
        <v>1537</v>
      </c>
      <c r="C936" s="23" t="s">
        <v>2552</v>
      </c>
      <c r="D936" s="23" t="s">
        <v>3667</v>
      </c>
      <c r="E936" s="23" t="s">
        <v>3657</v>
      </c>
      <c r="F936" s="23">
        <v>10</v>
      </c>
      <c r="G936" s="23">
        <v>3540.6</v>
      </c>
      <c r="H936" s="23">
        <v>35406</v>
      </c>
    </row>
    <row r="937" spans="1:8">
      <c r="A937" s="27">
        <v>44999</v>
      </c>
      <c r="B937" s="23" t="s">
        <v>1535</v>
      </c>
      <c r="C937" s="23" t="s">
        <v>2548</v>
      </c>
      <c r="D937" s="23" t="s">
        <v>3666</v>
      </c>
      <c r="E937" s="23" t="s">
        <v>1514</v>
      </c>
      <c r="F937" s="23">
        <v>13</v>
      </c>
      <c r="G937" s="23">
        <v>2163.4</v>
      </c>
      <c r="H937" s="23">
        <v>28124.2</v>
      </c>
    </row>
    <row r="938" spans="1:8">
      <c r="A938" s="27">
        <v>45122</v>
      </c>
      <c r="B938" s="23" t="s">
        <v>1535</v>
      </c>
      <c r="C938" s="23" t="s">
        <v>2549</v>
      </c>
      <c r="D938" s="23" t="s">
        <v>3654</v>
      </c>
      <c r="E938" s="23" t="s">
        <v>1516</v>
      </c>
      <c r="F938" s="23">
        <v>20</v>
      </c>
      <c r="G938" s="23">
        <v>1977</v>
      </c>
      <c r="H938" s="23">
        <v>39540</v>
      </c>
    </row>
    <row r="939" spans="1:8">
      <c r="A939" s="27">
        <v>45032</v>
      </c>
      <c r="B939" s="23" t="s">
        <v>1538</v>
      </c>
      <c r="C939" s="23" t="s">
        <v>2551</v>
      </c>
      <c r="D939" s="23" t="s">
        <v>3669</v>
      </c>
      <c r="E939" s="23" t="s">
        <v>1516</v>
      </c>
      <c r="F939" s="23">
        <v>2</v>
      </c>
      <c r="G939" s="23">
        <v>528.62</v>
      </c>
      <c r="H939" s="23">
        <v>1057.24</v>
      </c>
    </row>
    <row r="940" spans="1:8">
      <c r="A940" s="27">
        <v>45000</v>
      </c>
      <c r="B940" s="23" t="s">
        <v>1538</v>
      </c>
      <c r="C940" s="23" t="s">
        <v>2551</v>
      </c>
      <c r="D940" s="23" t="s">
        <v>3668</v>
      </c>
      <c r="E940" s="23" t="s">
        <v>1518</v>
      </c>
      <c r="F940" s="23">
        <v>19</v>
      </c>
      <c r="G940" s="23">
        <v>1093.8900000000001</v>
      </c>
      <c r="H940" s="23">
        <v>20783.91</v>
      </c>
    </row>
    <row r="941" spans="1:8">
      <c r="A941" s="27">
        <v>45145</v>
      </c>
      <c r="B941" s="23" t="s">
        <v>1537</v>
      </c>
      <c r="C941" s="23" t="s">
        <v>2550</v>
      </c>
      <c r="D941" s="23" t="s">
        <v>3658</v>
      </c>
      <c r="E941" s="23" t="s">
        <v>1518</v>
      </c>
      <c r="F941" s="23">
        <v>15</v>
      </c>
      <c r="G941" s="23">
        <v>3897.39</v>
      </c>
      <c r="H941" s="23">
        <v>58460.85</v>
      </c>
    </row>
    <row r="942" spans="1:8">
      <c r="A942" s="27">
        <v>45181</v>
      </c>
      <c r="B942" s="23" t="s">
        <v>1535</v>
      </c>
      <c r="C942" s="23" t="s">
        <v>2548</v>
      </c>
      <c r="D942" s="23" t="s">
        <v>3663</v>
      </c>
      <c r="E942" s="23" t="s">
        <v>1517</v>
      </c>
      <c r="F942" s="23">
        <v>17</v>
      </c>
      <c r="G942" s="23">
        <v>3791.82</v>
      </c>
      <c r="H942" s="23">
        <v>64460.94</v>
      </c>
    </row>
    <row r="943" spans="1:8">
      <c r="A943" s="27">
        <v>45011</v>
      </c>
      <c r="B943" s="23" t="s">
        <v>1535</v>
      </c>
      <c r="C943" s="23" t="s">
        <v>2548</v>
      </c>
      <c r="D943" s="23" t="s">
        <v>3663</v>
      </c>
      <c r="E943" s="23" t="s">
        <v>1517</v>
      </c>
      <c r="F943" s="23">
        <v>18</v>
      </c>
      <c r="G943" s="23">
        <v>1137.05</v>
      </c>
      <c r="H943" s="23">
        <v>20466.900000000001</v>
      </c>
    </row>
    <row r="944" spans="1:8">
      <c r="A944" s="27">
        <v>44986</v>
      </c>
      <c r="B944" s="23" t="s">
        <v>1537</v>
      </c>
      <c r="C944" s="23" t="s">
        <v>2550</v>
      </c>
      <c r="D944" s="23" t="s">
        <v>3661</v>
      </c>
      <c r="E944" s="23" t="s">
        <v>1518</v>
      </c>
      <c r="F944" s="23">
        <v>5</v>
      </c>
      <c r="G944" s="23">
        <v>1192.82</v>
      </c>
      <c r="H944" s="23">
        <v>5964.1</v>
      </c>
    </row>
    <row r="945" spans="1:8">
      <c r="A945" s="27">
        <v>45048</v>
      </c>
      <c r="B945" s="23" t="s">
        <v>1537</v>
      </c>
      <c r="C945" s="23" t="s">
        <v>2552</v>
      </c>
      <c r="D945" s="23" t="s">
        <v>3655</v>
      </c>
      <c r="E945" s="23" t="s">
        <v>1514</v>
      </c>
      <c r="F945" s="23">
        <v>12</v>
      </c>
      <c r="G945" s="23">
        <v>3358.78</v>
      </c>
      <c r="H945" s="23">
        <v>40305.360000000001</v>
      </c>
    </row>
    <row r="946" spans="1:8">
      <c r="A946" s="27">
        <v>44979</v>
      </c>
      <c r="B946" s="23" t="s">
        <v>1538</v>
      </c>
      <c r="C946" s="23" t="s">
        <v>2551</v>
      </c>
      <c r="D946" s="23" t="s">
        <v>3668</v>
      </c>
      <c r="E946" s="23" t="s">
        <v>1518</v>
      </c>
      <c r="F946" s="23">
        <v>1</v>
      </c>
      <c r="G946" s="23">
        <v>4511.88</v>
      </c>
      <c r="H946" s="23">
        <v>4511.88</v>
      </c>
    </row>
    <row r="947" spans="1:8">
      <c r="A947" s="27">
        <v>45030</v>
      </c>
      <c r="B947" s="23" t="s">
        <v>1535</v>
      </c>
      <c r="C947" s="23" t="s">
        <v>2549</v>
      </c>
      <c r="D947" s="23" t="s">
        <v>3660</v>
      </c>
      <c r="E947" s="23" t="s">
        <v>1517</v>
      </c>
      <c r="F947" s="23">
        <v>10</v>
      </c>
      <c r="G947" s="23">
        <v>3882.87</v>
      </c>
      <c r="H947" s="23">
        <v>38828.699999999997</v>
      </c>
    </row>
    <row r="948" spans="1:8">
      <c r="A948" s="27">
        <v>45265</v>
      </c>
      <c r="B948" s="23" t="s">
        <v>1535</v>
      </c>
      <c r="C948" s="23" t="s">
        <v>2549</v>
      </c>
      <c r="D948" s="23" t="s">
        <v>3660</v>
      </c>
      <c r="E948" s="23" t="s">
        <v>1516</v>
      </c>
      <c r="F948" s="23">
        <v>4</v>
      </c>
      <c r="G948" s="23">
        <v>4020.65</v>
      </c>
      <c r="H948" s="23">
        <v>16082.6</v>
      </c>
    </row>
    <row r="949" spans="1:8">
      <c r="A949" s="27">
        <v>45071</v>
      </c>
      <c r="B949" s="23" t="s">
        <v>1537</v>
      </c>
      <c r="C949" s="23" t="s">
        <v>2550</v>
      </c>
      <c r="D949" s="23" t="s">
        <v>3658</v>
      </c>
      <c r="E949" s="23" t="s">
        <v>3657</v>
      </c>
      <c r="F949" s="23">
        <v>4</v>
      </c>
      <c r="G949" s="23">
        <v>430.91</v>
      </c>
      <c r="H949" s="23">
        <v>1723.64</v>
      </c>
    </row>
    <row r="950" spans="1:8">
      <c r="A950" s="27">
        <v>44935</v>
      </c>
      <c r="B950" s="23" t="s">
        <v>1535</v>
      </c>
      <c r="C950" s="23" t="s">
        <v>2548</v>
      </c>
      <c r="D950" s="23" t="s">
        <v>3663</v>
      </c>
      <c r="E950" s="23" t="s">
        <v>1518</v>
      </c>
      <c r="F950" s="23">
        <v>7</v>
      </c>
      <c r="G950" s="23">
        <v>4508.28</v>
      </c>
      <c r="H950" s="23">
        <v>31557.96</v>
      </c>
    </row>
    <row r="951" spans="1:8">
      <c r="A951" s="27">
        <v>45044</v>
      </c>
      <c r="B951" s="23" t="s">
        <v>1538</v>
      </c>
      <c r="C951" s="23" t="s">
        <v>2551</v>
      </c>
      <c r="D951" s="23" t="s">
        <v>3669</v>
      </c>
      <c r="E951" s="23" t="s">
        <v>3657</v>
      </c>
      <c r="F951" s="23">
        <v>5</v>
      </c>
      <c r="G951" s="23">
        <v>438.69</v>
      </c>
      <c r="H951" s="23">
        <v>2193.4499999999998</v>
      </c>
    </row>
    <row r="952" spans="1:8">
      <c r="A952" s="27">
        <v>45151</v>
      </c>
      <c r="B952" s="23" t="s">
        <v>1537</v>
      </c>
      <c r="C952" s="23" t="s">
        <v>2552</v>
      </c>
      <c r="D952" s="23" t="s">
        <v>3655</v>
      </c>
      <c r="E952" s="23" t="s">
        <v>1516</v>
      </c>
      <c r="F952" s="23">
        <v>10</v>
      </c>
      <c r="G952" s="23">
        <v>3439.35</v>
      </c>
      <c r="H952" s="23">
        <v>34393.5</v>
      </c>
    </row>
    <row r="953" spans="1:8">
      <c r="A953" s="27">
        <v>45233</v>
      </c>
      <c r="B953" s="23" t="s">
        <v>1535</v>
      </c>
      <c r="C953" s="23" t="s">
        <v>2549</v>
      </c>
      <c r="D953" s="23" t="s">
        <v>3654</v>
      </c>
      <c r="E953" s="23" t="s">
        <v>1518</v>
      </c>
      <c r="F953" s="23">
        <v>16</v>
      </c>
      <c r="G953" s="23">
        <v>2563.69</v>
      </c>
      <c r="H953" s="23">
        <v>41019.040000000001</v>
      </c>
    </row>
    <row r="954" spans="1:8">
      <c r="A954" s="27">
        <v>45083</v>
      </c>
      <c r="B954" s="23" t="s">
        <v>1537</v>
      </c>
      <c r="C954" s="23" t="s">
        <v>2552</v>
      </c>
      <c r="D954" s="23" t="s">
        <v>3655</v>
      </c>
      <c r="E954" s="23" t="s">
        <v>1517</v>
      </c>
      <c r="F954" s="23">
        <v>5</v>
      </c>
      <c r="G954" s="23">
        <v>975.39</v>
      </c>
      <c r="H954" s="23">
        <v>4876.95</v>
      </c>
    </row>
    <row r="955" spans="1:8">
      <c r="A955" s="27">
        <v>45179</v>
      </c>
      <c r="B955" s="23" t="s">
        <v>1535</v>
      </c>
      <c r="C955" s="23" t="s">
        <v>2549</v>
      </c>
      <c r="D955" s="23" t="s">
        <v>3660</v>
      </c>
      <c r="E955" s="23" t="s">
        <v>1516</v>
      </c>
      <c r="F955" s="23">
        <v>7</v>
      </c>
      <c r="G955" s="23">
        <v>2384.5100000000002</v>
      </c>
      <c r="H955" s="23">
        <v>16691.57</v>
      </c>
    </row>
    <row r="956" spans="1:8">
      <c r="A956" s="27">
        <v>45219</v>
      </c>
      <c r="B956" s="23" t="s">
        <v>1535</v>
      </c>
      <c r="C956" s="23" t="s">
        <v>2548</v>
      </c>
      <c r="D956" s="23" t="s">
        <v>3666</v>
      </c>
      <c r="E956" s="23" t="s">
        <v>1517</v>
      </c>
      <c r="F956" s="23">
        <v>20</v>
      </c>
      <c r="G956" s="23">
        <v>3470.23</v>
      </c>
      <c r="H956" s="23">
        <v>69404.600000000006</v>
      </c>
    </row>
    <row r="957" spans="1:8">
      <c r="A957" s="27">
        <v>45038</v>
      </c>
      <c r="B957" s="23" t="s">
        <v>1537</v>
      </c>
      <c r="C957" s="23" t="s">
        <v>2552</v>
      </c>
      <c r="D957" s="23" t="s">
        <v>3667</v>
      </c>
      <c r="E957" s="23" t="s">
        <v>1516</v>
      </c>
      <c r="F957" s="23">
        <v>1</v>
      </c>
      <c r="G957" s="23">
        <v>3964.08</v>
      </c>
      <c r="H957" s="23">
        <v>3964.08</v>
      </c>
    </row>
    <row r="958" spans="1:8">
      <c r="A958" s="27">
        <v>45203</v>
      </c>
      <c r="B958" s="23" t="s">
        <v>1538</v>
      </c>
      <c r="C958" s="23" t="s">
        <v>2551</v>
      </c>
      <c r="D958" s="23" t="s">
        <v>3669</v>
      </c>
      <c r="E958" s="23" t="s">
        <v>3657</v>
      </c>
      <c r="F958" s="23">
        <v>7</v>
      </c>
      <c r="G958" s="23">
        <v>2227.0700000000002</v>
      </c>
      <c r="H958" s="23">
        <v>15589.49</v>
      </c>
    </row>
    <row r="959" spans="1:8">
      <c r="A959" s="27">
        <v>44992</v>
      </c>
      <c r="B959" s="23" t="s">
        <v>1537</v>
      </c>
      <c r="C959" s="23" t="s">
        <v>2550</v>
      </c>
      <c r="D959" s="23" t="s">
        <v>3658</v>
      </c>
      <c r="E959" s="23" t="s">
        <v>1516</v>
      </c>
      <c r="F959" s="23">
        <v>5</v>
      </c>
      <c r="G959" s="23">
        <v>1460.84</v>
      </c>
      <c r="H959" s="23">
        <v>7304.2</v>
      </c>
    </row>
    <row r="960" spans="1:8">
      <c r="A960" s="27">
        <v>44931</v>
      </c>
      <c r="B960" s="23" t="s">
        <v>1537</v>
      </c>
      <c r="C960" s="23" t="s">
        <v>2552</v>
      </c>
      <c r="D960" s="23" t="s">
        <v>3667</v>
      </c>
      <c r="E960" s="23" t="s">
        <v>1517</v>
      </c>
      <c r="F960" s="23">
        <v>13</v>
      </c>
      <c r="G960" s="23">
        <v>914.82</v>
      </c>
      <c r="H960" s="23">
        <v>11892.66</v>
      </c>
    </row>
    <row r="961" spans="1:8">
      <c r="A961" s="27">
        <v>45274</v>
      </c>
      <c r="B961" s="23" t="s">
        <v>1537</v>
      </c>
      <c r="C961" s="23" t="s">
        <v>2552</v>
      </c>
      <c r="D961" s="23" t="s">
        <v>3662</v>
      </c>
      <c r="E961" s="23" t="s">
        <v>1516</v>
      </c>
      <c r="F961" s="23">
        <v>8</v>
      </c>
      <c r="G961" s="23">
        <v>1794.45</v>
      </c>
      <c r="H961" s="23">
        <v>14355.6</v>
      </c>
    </row>
    <row r="962" spans="1:8">
      <c r="A962" s="27">
        <v>44969</v>
      </c>
      <c r="B962" s="23" t="s">
        <v>1538</v>
      </c>
      <c r="C962" s="23" t="s">
        <v>2551</v>
      </c>
      <c r="D962" s="23" t="s">
        <v>3668</v>
      </c>
      <c r="E962" s="23" t="s">
        <v>3657</v>
      </c>
      <c r="F962" s="23">
        <v>9</v>
      </c>
      <c r="G962" s="23">
        <v>593.01</v>
      </c>
      <c r="H962" s="23">
        <v>5337.09</v>
      </c>
    </row>
    <row r="963" spans="1:8">
      <c r="A963" s="27">
        <v>44931</v>
      </c>
      <c r="B963" s="23" t="s">
        <v>1535</v>
      </c>
      <c r="C963" s="23" t="s">
        <v>2548</v>
      </c>
      <c r="D963" s="23" t="s">
        <v>3664</v>
      </c>
      <c r="E963" s="23" t="s">
        <v>3657</v>
      </c>
      <c r="F963" s="23">
        <v>2</v>
      </c>
      <c r="G963" s="23">
        <v>2704.98</v>
      </c>
      <c r="H963" s="23">
        <v>5409.96</v>
      </c>
    </row>
    <row r="964" spans="1:8">
      <c r="A964" s="27">
        <v>45184</v>
      </c>
      <c r="B964" s="23" t="s">
        <v>1538</v>
      </c>
      <c r="C964" s="23" t="s">
        <v>2551</v>
      </c>
      <c r="D964" s="23" t="s">
        <v>3668</v>
      </c>
      <c r="E964" s="23" t="s">
        <v>3657</v>
      </c>
      <c r="F964" s="23">
        <v>1</v>
      </c>
      <c r="G964" s="23">
        <v>1981.82</v>
      </c>
      <c r="H964" s="23">
        <v>1981.82</v>
      </c>
    </row>
    <row r="965" spans="1:8">
      <c r="A965" s="27">
        <v>45174</v>
      </c>
      <c r="B965" s="23" t="s">
        <v>1537</v>
      </c>
      <c r="C965" s="23" t="s">
        <v>2550</v>
      </c>
      <c r="D965" s="23" t="s">
        <v>3661</v>
      </c>
      <c r="E965" s="23" t="s">
        <v>1514</v>
      </c>
      <c r="F965" s="23">
        <v>20</v>
      </c>
      <c r="G965" s="23">
        <v>774.07</v>
      </c>
      <c r="H965" s="23">
        <v>15481.4</v>
      </c>
    </row>
    <row r="966" spans="1:8">
      <c r="A966" s="27">
        <v>45197</v>
      </c>
      <c r="B966" s="23" t="s">
        <v>1537</v>
      </c>
      <c r="C966" s="23" t="s">
        <v>2550</v>
      </c>
      <c r="D966" s="23" t="s">
        <v>3658</v>
      </c>
      <c r="E966" s="23" t="s">
        <v>1516</v>
      </c>
      <c r="F966" s="23">
        <v>11</v>
      </c>
      <c r="G966" s="23">
        <v>146.47</v>
      </c>
      <c r="H966" s="23">
        <v>1611.17</v>
      </c>
    </row>
    <row r="967" spans="1:8">
      <c r="A967" s="27">
        <v>45136</v>
      </c>
      <c r="B967" s="23" t="s">
        <v>1535</v>
      </c>
      <c r="C967" s="23" t="s">
        <v>2549</v>
      </c>
      <c r="D967" s="23" t="s">
        <v>3660</v>
      </c>
      <c r="E967" s="23" t="s">
        <v>1516</v>
      </c>
      <c r="F967" s="23">
        <v>12</v>
      </c>
      <c r="G967" s="23">
        <v>283.86</v>
      </c>
      <c r="H967" s="23">
        <v>3406.32</v>
      </c>
    </row>
    <row r="968" spans="1:8">
      <c r="A968" s="27">
        <v>45066</v>
      </c>
      <c r="B968" s="23" t="s">
        <v>1535</v>
      </c>
      <c r="C968" s="23" t="s">
        <v>2549</v>
      </c>
      <c r="D968" s="23" t="s">
        <v>3654</v>
      </c>
      <c r="E968" s="23" t="s">
        <v>1514</v>
      </c>
      <c r="F968" s="23">
        <v>8</v>
      </c>
      <c r="G968" s="23">
        <v>4576.97</v>
      </c>
      <c r="H968" s="23">
        <v>36615.760000000002</v>
      </c>
    </row>
    <row r="969" spans="1:8">
      <c r="A969" s="27">
        <v>45076</v>
      </c>
      <c r="B969" s="23" t="s">
        <v>1535</v>
      </c>
      <c r="C969" s="23" t="s">
        <v>2549</v>
      </c>
      <c r="D969" s="23" t="s">
        <v>3665</v>
      </c>
      <c r="E969" s="23" t="s">
        <v>1517</v>
      </c>
      <c r="F969" s="23">
        <v>4</v>
      </c>
      <c r="G969" s="23">
        <v>4368.46</v>
      </c>
      <c r="H969" s="23">
        <v>17473.84</v>
      </c>
    </row>
    <row r="970" spans="1:8">
      <c r="A970" s="27">
        <v>45011</v>
      </c>
      <c r="B970" s="23" t="s">
        <v>1537</v>
      </c>
      <c r="C970" s="23" t="s">
        <v>2552</v>
      </c>
      <c r="D970" s="23" t="s">
        <v>3662</v>
      </c>
      <c r="E970" s="23" t="s">
        <v>3657</v>
      </c>
      <c r="F970" s="23">
        <v>17</v>
      </c>
      <c r="G970" s="23">
        <v>4825.24</v>
      </c>
      <c r="H970" s="23">
        <v>82029.08</v>
      </c>
    </row>
    <row r="971" spans="1:8">
      <c r="A971" s="27">
        <v>45025</v>
      </c>
      <c r="B971" s="23" t="s">
        <v>1535</v>
      </c>
      <c r="C971" s="23" t="s">
        <v>2548</v>
      </c>
      <c r="D971" s="23" t="s">
        <v>3666</v>
      </c>
      <c r="E971" s="23" t="s">
        <v>1514</v>
      </c>
      <c r="F971" s="23">
        <v>18</v>
      </c>
      <c r="G971" s="23">
        <v>3982.89</v>
      </c>
      <c r="H971" s="23">
        <v>71692.02</v>
      </c>
    </row>
    <row r="972" spans="1:8">
      <c r="A972" s="27">
        <v>44954</v>
      </c>
      <c r="B972" s="23" t="s">
        <v>1538</v>
      </c>
      <c r="C972" s="23" t="s">
        <v>2551</v>
      </c>
      <c r="D972" s="23" t="s">
        <v>3668</v>
      </c>
      <c r="E972" s="23" t="s">
        <v>1516</v>
      </c>
      <c r="F972" s="23">
        <v>4</v>
      </c>
      <c r="G972" s="23">
        <v>2169.61</v>
      </c>
      <c r="H972" s="23">
        <v>8678.44</v>
      </c>
    </row>
    <row r="973" spans="1:8">
      <c r="A973" s="27">
        <v>45274</v>
      </c>
      <c r="B973" s="23" t="s">
        <v>1538</v>
      </c>
      <c r="C973" s="23" t="s">
        <v>2551</v>
      </c>
      <c r="D973" s="23" t="s">
        <v>3669</v>
      </c>
      <c r="E973" s="23" t="s">
        <v>1514</v>
      </c>
      <c r="F973" s="23">
        <v>18</v>
      </c>
      <c r="G973" s="23">
        <v>1601.74</v>
      </c>
      <c r="H973" s="23">
        <v>28831.32</v>
      </c>
    </row>
    <row r="974" spans="1:8">
      <c r="A974" s="27">
        <v>44942</v>
      </c>
      <c r="B974" s="23" t="s">
        <v>1538</v>
      </c>
      <c r="C974" s="23" t="s">
        <v>2551</v>
      </c>
      <c r="D974" s="23" t="s">
        <v>3668</v>
      </c>
      <c r="E974" s="23" t="s">
        <v>1518</v>
      </c>
      <c r="F974" s="23">
        <v>8</v>
      </c>
      <c r="G974" s="23">
        <v>4334.41</v>
      </c>
      <c r="H974" s="23">
        <v>34675.279999999999</v>
      </c>
    </row>
    <row r="975" spans="1:8">
      <c r="A975" s="27">
        <v>45193</v>
      </c>
      <c r="B975" s="23" t="s">
        <v>1537</v>
      </c>
      <c r="C975" s="23" t="s">
        <v>2550</v>
      </c>
      <c r="D975" s="23" t="s">
        <v>3658</v>
      </c>
      <c r="E975" s="23" t="s">
        <v>1514</v>
      </c>
      <c r="F975" s="23">
        <v>17</v>
      </c>
      <c r="G975" s="23">
        <v>3933.92</v>
      </c>
      <c r="H975" s="23">
        <v>66876.639999999999</v>
      </c>
    </row>
    <row r="976" spans="1:8">
      <c r="A976" s="27">
        <v>45019</v>
      </c>
      <c r="B976" s="23" t="s">
        <v>1537</v>
      </c>
      <c r="C976" s="23" t="s">
        <v>2552</v>
      </c>
      <c r="D976" s="23" t="s">
        <v>3662</v>
      </c>
      <c r="E976" s="23" t="s">
        <v>3657</v>
      </c>
      <c r="F976" s="23">
        <v>6</v>
      </c>
      <c r="G976" s="23">
        <v>3466.7</v>
      </c>
      <c r="H976" s="23">
        <v>20800.2</v>
      </c>
    </row>
    <row r="977" spans="1:8">
      <c r="A977" s="27">
        <v>45000</v>
      </c>
      <c r="B977" s="23" t="s">
        <v>1535</v>
      </c>
      <c r="C977" s="23" t="s">
        <v>2548</v>
      </c>
      <c r="D977" s="23" t="s">
        <v>3663</v>
      </c>
      <c r="E977" s="23" t="s">
        <v>1514</v>
      </c>
      <c r="F977" s="23">
        <v>3</v>
      </c>
      <c r="G977" s="23">
        <v>4083.59</v>
      </c>
      <c r="H977" s="23">
        <v>12250.77</v>
      </c>
    </row>
    <row r="978" spans="1:8">
      <c r="A978" s="27">
        <v>45071</v>
      </c>
      <c r="B978" s="23" t="s">
        <v>1537</v>
      </c>
      <c r="C978" s="23" t="s">
        <v>2550</v>
      </c>
      <c r="D978" s="23" t="s">
        <v>3658</v>
      </c>
      <c r="E978" s="23" t="s">
        <v>1518</v>
      </c>
      <c r="F978" s="23">
        <v>14</v>
      </c>
      <c r="G978" s="23">
        <v>1972.22</v>
      </c>
      <c r="H978" s="23">
        <v>27611.08</v>
      </c>
    </row>
    <row r="979" spans="1:8">
      <c r="A979" s="27">
        <v>45281</v>
      </c>
      <c r="B979" s="23" t="s">
        <v>1537</v>
      </c>
      <c r="C979" s="23" t="s">
        <v>2552</v>
      </c>
      <c r="D979" s="23" t="s">
        <v>3667</v>
      </c>
      <c r="E979" s="23" t="s">
        <v>1517</v>
      </c>
      <c r="F979" s="23">
        <v>4</v>
      </c>
      <c r="G979" s="23">
        <v>722.05</v>
      </c>
      <c r="H979" s="23">
        <v>2888.2</v>
      </c>
    </row>
    <row r="980" spans="1:8">
      <c r="A980" s="27">
        <v>44972</v>
      </c>
      <c r="B980" s="23" t="s">
        <v>1538</v>
      </c>
      <c r="C980" s="23" t="s">
        <v>2551</v>
      </c>
      <c r="D980" s="23" t="s">
        <v>3668</v>
      </c>
      <c r="E980" s="23" t="s">
        <v>1517</v>
      </c>
      <c r="F980" s="23">
        <v>7</v>
      </c>
      <c r="G980" s="23">
        <v>4803.62</v>
      </c>
      <c r="H980" s="23">
        <v>33625.339999999997</v>
      </c>
    </row>
    <row r="981" spans="1:8">
      <c r="A981" s="27">
        <v>45156</v>
      </c>
      <c r="B981" s="23" t="s">
        <v>1537</v>
      </c>
      <c r="C981" s="23" t="s">
        <v>2550</v>
      </c>
      <c r="D981" s="23" t="s">
        <v>3656</v>
      </c>
      <c r="E981" s="23" t="s">
        <v>3657</v>
      </c>
      <c r="F981" s="23">
        <v>1</v>
      </c>
      <c r="G981" s="23">
        <v>1094.8800000000001</v>
      </c>
      <c r="H981" s="23">
        <v>1094.8800000000001</v>
      </c>
    </row>
    <row r="982" spans="1:8">
      <c r="A982" s="27">
        <v>44988</v>
      </c>
      <c r="B982" s="23" t="s">
        <v>1537</v>
      </c>
      <c r="C982" s="23" t="s">
        <v>2550</v>
      </c>
      <c r="D982" s="23" t="s">
        <v>3656</v>
      </c>
      <c r="E982" s="23" t="s">
        <v>1516</v>
      </c>
      <c r="F982" s="23">
        <v>16</v>
      </c>
      <c r="G982" s="23">
        <v>2640.08</v>
      </c>
      <c r="H982" s="23">
        <v>42241.279999999999</v>
      </c>
    </row>
    <row r="983" spans="1:8">
      <c r="A983" s="27">
        <v>45189</v>
      </c>
      <c r="B983" s="23" t="s">
        <v>1537</v>
      </c>
      <c r="C983" s="23" t="s">
        <v>2552</v>
      </c>
      <c r="D983" s="23" t="s">
        <v>3655</v>
      </c>
      <c r="E983" s="23" t="s">
        <v>3657</v>
      </c>
      <c r="F983" s="23">
        <v>15</v>
      </c>
      <c r="G983" s="23">
        <v>1259.1600000000001</v>
      </c>
      <c r="H983" s="23">
        <v>18887.400000000001</v>
      </c>
    </row>
    <row r="984" spans="1:8">
      <c r="A984" s="27">
        <v>45214</v>
      </c>
      <c r="B984" s="23" t="s">
        <v>1537</v>
      </c>
      <c r="C984" s="23" t="s">
        <v>2550</v>
      </c>
      <c r="D984" s="23" t="s">
        <v>3661</v>
      </c>
      <c r="E984" s="23" t="s">
        <v>3657</v>
      </c>
      <c r="F984" s="23">
        <v>20</v>
      </c>
      <c r="G984" s="23">
        <v>2487.65</v>
      </c>
      <c r="H984" s="23">
        <v>49753</v>
      </c>
    </row>
    <row r="985" spans="1:8">
      <c r="A985" s="27">
        <v>44956</v>
      </c>
      <c r="B985" s="23" t="s">
        <v>1535</v>
      </c>
      <c r="C985" s="23" t="s">
        <v>2548</v>
      </c>
      <c r="D985" s="23" t="s">
        <v>3666</v>
      </c>
      <c r="E985" s="23" t="s">
        <v>1516</v>
      </c>
      <c r="F985" s="23">
        <v>3</v>
      </c>
      <c r="G985" s="23">
        <v>4678.38</v>
      </c>
      <c r="H985" s="23">
        <v>14035.14</v>
      </c>
    </row>
    <row r="986" spans="1:8">
      <c r="A986" s="27">
        <v>45095</v>
      </c>
      <c r="B986" s="23" t="s">
        <v>1537</v>
      </c>
      <c r="C986" s="23" t="s">
        <v>2550</v>
      </c>
      <c r="D986" s="23" t="s">
        <v>3658</v>
      </c>
      <c r="E986" s="23" t="s">
        <v>1514</v>
      </c>
      <c r="F986" s="23">
        <v>8</v>
      </c>
      <c r="G986" s="23">
        <v>308.68</v>
      </c>
      <c r="H986" s="23">
        <v>2469.44</v>
      </c>
    </row>
    <row r="987" spans="1:8">
      <c r="A987" s="27">
        <v>45113</v>
      </c>
      <c r="B987" s="23" t="s">
        <v>1535</v>
      </c>
      <c r="C987" s="23" t="s">
        <v>2548</v>
      </c>
      <c r="D987" s="23" t="s">
        <v>3663</v>
      </c>
      <c r="E987" s="23" t="s">
        <v>1517</v>
      </c>
      <c r="F987" s="23">
        <v>19</v>
      </c>
      <c r="G987" s="23">
        <v>4348.7299999999996</v>
      </c>
      <c r="H987" s="23">
        <v>82625.87</v>
      </c>
    </row>
    <row r="988" spans="1:8">
      <c r="A988" s="27">
        <v>45244</v>
      </c>
      <c r="B988" s="23" t="s">
        <v>1535</v>
      </c>
      <c r="C988" s="23" t="s">
        <v>2548</v>
      </c>
      <c r="D988" s="23" t="s">
        <v>3664</v>
      </c>
      <c r="E988" s="23" t="s">
        <v>1516</v>
      </c>
      <c r="F988" s="23">
        <v>8</v>
      </c>
      <c r="G988" s="23">
        <v>758.58</v>
      </c>
      <c r="H988" s="23">
        <v>6068.64</v>
      </c>
    </row>
    <row r="989" spans="1:8">
      <c r="A989" s="27">
        <v>45084</v>
      </c>
      <c r="B989" s="23" t="s">
        <v>1537</v>
      </c>
      <c r="C989" s="23" t="s">
        <v>2550</v>
      </c>
      <c r="D989" s="23" t="s">
        <v>3656</v>
      </c>
      <c r="E989" s="23" t="s">
        <v>1516</v>
      </c>
      <c r="F989" s="23">
        <v>13</v>
      </c>
      <c r="G989" s="23">
        <v>857.86</v>
      </c>
      <c r="H989" s="23">
        <v>11152.18</v>
      </c>
    </row>
    <row r="990" spans="1:8">
      <c r="A990" s="27">
        <v>44944</v>
      </c>
      <c r="B990" s="23" t="s">
        <v>1535</v>
      </c>
      <c r="C990" s="23" t="s">
        <v>2548</v>
      </c>
      <c r="D990" s="23" t="s">
        <v>3664</v>
      </c>
      <c r="E990" s="23" t="s">
        <v>1517</v>
      </c>
      <c r="F990" s="23">
        <v>16</v>
      </c>
      <c r="G990" s="23">
        <v>4614.01</v>
      </c>
      <c r="H990" s="23">
        <v>73824.160000000003</v>
      </c>
    </row>
    <row r="991" spans="1:8">
      <c r="A991" s="27">
        <v>45019</v>
      </c>
      <c r="B991" s="23" t="s">
        <v>1537</v>
      </c>
      <c r="C991" s="23" t="s">
        <v>2552</v>
      </c>
      <c r="D991" s="23" t="s">
        <v>3662</v>
      </c>
      <c r="E991" s="23" t="s">
        <v>1517</v>
      </c>
      <c r="F991" s="23">
        <v>14</v>
      </c>
      <c r="G991" s="23">
        <v>1658.39</v>
      </c>
      <c r="H991" s="23">
        <v>23217.46</v>
      </c>
    </row>
    <row r="992" spans="1:8">
      <c r="A992" s="27">
        <v>45246</v>
      </c>
      <c r="B992" s="23" t="s">
        <v>1535</v>
      </c>
      <c r="C992" s="23" t="s">
        <v>2549</v>
      </c>
      <c r="D992" s="23" t="s">
        <v>3660</v>
      </c>
      <c r="E992" s="23" t="s">
        <v>1518</v>
      </c>
      <c r="F992" s="23">
        <v>12</v>
      </c>
      <c r="G992" s="23">
        <v>3028.88</v>
      </c>
      <c r="H992" s="23">
        <v>36346.559999999998</v>
      </c>
    </row>
    <row r="993" spans="1:8">
      <c r="A993" s="27">
        <v>45235</v>
      </c>
      <c r="B993" s="23" t="s">
        <v>1538</v>
      </c>
      <c r="C993" s="23" t="s">
        <v>2551</v>
      </c>
      <c r="D993" s="23" t="s">
        <v>3668</v>
      </c>
      <c r="E993" s="23" t="s">
        <v>1518</v>
      </c>
      <c r="F993" s="23">
        <v>7</v>
      </c>
      <c r="G993" s="23">
        <v>1501.06</v>
      </c>
      <c r="H993" s="23">
        <v>10507.42</v>
      </c>
    </row>
    <row r="994" spans="1:8">
      <c r="A994" s="27">
        <v>44980</v>
      </c>
      <c r="B994" s="23" t="s">
        <v>1538</v>
      </c>
      <c r="C994" s="23" t="s">
        <v>2551</v>
      </c>
      <c r="D994" s="23" t="s">
        <v>3659</v>
      </c>
      <c r="E994" s="23" t="s">
        <v>1517</v>
      </c>
      <c r="F994" s="23">
        <v>5</v>
      </c>
      <c r="G994" s="23">
        <v>3404.87</v>
      </c>
      <c r="H994" s="23">
        <v>17024.349999999999</v>
      </c>
    </row>
    <row r="995" spans="1:8">
      <c r="A995" s="27">
        <v>44963</v>
      </c>
      <c r="B995" s="23" t="s">
        <v>1537</v>
      </c>
      <c r="C995" s="23" t="s">
        <v>2552</v>
      </c>
      <c r="D995" s="23" t="s">
        <v>3667</v>
      </c>
      <c r="E995" s="23" t="s">
        <v>1518</v>
      </c>
      <c r="F995" s="23">
        <v>8</v>
      </c>
      <c r="G995" s="23">
        <v>2112.66</v>
      </c>
      <c r="H995" s="23">
        <v>16901.28</v>
      </c>
    </row>
    <row r="996" spans="1:8">
      <c r="A996" s="27">
        <v>45231</v>
      </c>
      <c r="B996" s="23" t="s">
        <v>1537</v>
      </c>
      <c r="C996" s="23" t="s">
        <v>2550</v>
      </c>
      <c r="D996" s="23" t="s">
        <v>3656</v>
      </c>
      <c r="E996" s="23" t="s">
        <v>1516</v>
      </c>
      <c r="F996" s="23">
        <v>1</v>
      </c>
      <c r="G996" s="23">
        <v>1520.97</v>
      </c>
      <c r="H996" s="23">
        <v>1520.97</v>
      </c>
    </row>
    <row r="997" spans="1:8">
      <c r="A997" s="27">
        <v>45240</v>
      </c>
      <c r="B997" s="23" t="s">
        <v>1535</v>
      </c>
      <c r="C997" s="23" t="s">
        <v>2548</v>
      </c>
      <c r="D997" s="23" t="s">
        <v>3663</v>
      </c>
      <c r="E997" s="23" t="s">
        <v>1517</v>
      </c>
      <c r="F997" s="23">
        <v>5</v>
      </c>
      <c r="G997" s="23">
        <v>172.99</v>
      </c>
      <c r="H997" s="23">
        <v>864.95</v>
      </c>
    </row>
    <row r="998" spans="1:8">
      <c r="A998" s="27">
        <v>45201</v>
      </c>
      <c r="B998" s="23" t="s">
        <v>1537</v>
      </c>
      <c r="C998" s="23" t="s">
        <v>2552</v>
      </c>
      <c r="D998" s="23" t="s">
        <v>3662</v>
      </c>
      <c r="E998" s="23" t="s">
        <v>1518</v>
      </c>
      <c r="F998" s="23">
        <v>9</v>
      </c>
      <c r="G998" s="23">
        <v>4781.72</v>
      </c>
      <c r="H998" s="23">
        <v>43035.48</v>
      </c>
    </row>
    <row r="999" spans="1:8">
      <c r="A999" s="27">
        <v>45012</v>
      </c>
      <c r="B999" s="23" t="s">
        <v>1537</v>
      </c>
      <c r="C999" s="23" t="s">
        <v>2552</v>
      </c>
      <c r="D999" s="23" t="s">
        <v>3667</v>
      </c>
      <c r="E999" s="23" t="s">
        <v>1516</v>
      </c>
      <c r="F999" s="23">
        <v>6</v>
      </c>
      <c r="G999" s="23">
        <v>4894.41</v>
      </c>
      <c r="H999" s="23">
        <v>29366.46</v>
      </c>
    </row>
    <row r="1000" spans="1:8">
      <c r="A1000" s="27">
        <v>44987</v>
      </c>
      <c r="B1000" s="23" t="s">
        <v>1535</v>
      </c>
      <c r="C1000" s="23" t="s">
        <v>2548</v>
      </c>
      <c r="D1000" s="23" t="s">
        <v>3663</v>
      </c>
      <c r="E1000" s="23" t="s">
        <v>3657</v>
      </c>
      <c r="F1000" s="23">
        <v>19</v>
      </c>
      <c r="G1000" s="23">
        <v>1199.24</v>
      </c>
      <c r="H1000" s="23">
        <v>22785.56</v>
      </c>
    </row>
    <row r="1001" spans="1:8">
      <c r="A1001" s="27">
        <v>45140</v>
      </c>
      <c r="B1001" s="23" t="s">
        <v>1537</v>
      </c>
      <c r="C1001" s="23" t="s">
        <v>2552</v>
      </c>
      <c r="D1001" s="23" t="s">
        <v>3667</v>
      </c>
      <c r="E1001" s="23" t="s">
        <v>3657</v>
      </c>
      <c r="F1001" s="23">
        <v>16</v>
      </c>
      <c r="G1001" s="23">
        <v>317.82</v>
      </c>
      <c r="H1001" s="23">
        <v>5085.12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J1001"/>
  <sheetViews>
    <sheetView zoomScale="115" zoomScaleNormal="115" workbookViewId="0">
      <selection activeCell="C11" sqref="C11"/>
    </sheetView>
  </sheetViews>
  <sheetFormatPr defaultRowHeight="15"/>
  <cols>
    <col min="1" max="1" width="18.140625" style="4" bestFit="1" customWidth="1"/>
    <col min="2" max="2" width="14.7109375" bestFit="1" customWidth="1"/>
    <col min="3" max="3" width="10.7109375" bestFit="1" customWidth="1"/>
    <col min="4" max="4" width="11.42578125" bestFit="1" customWidth="1"/>
    <col min="5" max="5" width="8.85546875" customWidth="1"/>
    <col min="6" max="6" width="15.7109375" bestFit="1" customWidth="1"/>
    <col min="7" max="7" width="13.28515625" bestFit="1" customWidth="1"/>
    <col min="8" max="8" width="8.28515625" bestFit="1" customWidth="1"/>
    <col min="9" max="9" width="12.28515625" bestFit="1" customWidth="1"/>
    <col min="10" max="10" width="12.5703125" bestFit="1" customWidth="1"/>
  </cols>
  <sheetData>
    <row r="1" spans="1:10">
      <c r="A1" s="22" t="s">
        <v>3653</v>
      </c>
      <c r="B1" s="21" t="s">
        <v>3671</v>
      </c>
      <c r="C1" s="21" t="s">
        <v>2544</v>
      </c>
      <c r="D1" s="21" t="s">
        <v>2543</v>
      </c>
      <c r="E1" s="21" t="s">
        <v>1533</v>
      </c>
      <c r="F1" s="21" t="s">
        <v>3670</v>
      </c>
      <c r="G1" s="21" t="s">
        <v>510</v>
      </c>
      <c r="H1" s="21" t="s">
        <v>3650</v>
      </c>
      <c r="I1" s="21" t="s">
        <v>3651</v>
      </c>
      <c r="J1" s="21" t="s">
        <v>3652</v>
      </c>
    </row>
    <row r="2" spans="1:10">
      <c r="A2" s="4">
        <v>45102</v>
      </c>
      <c r="B2" t="s">
        <v>3673</v>
      </c>
      <c r="C2" t="s">
        <v>3660</v>
      </c>
      <c r="D2" t="s">
        <v>2549</v>
      </c>
      <c r="E2" t="s">
        <v>1535</v>
      </c>
      <c r="F2" t="s">
        <v>1517</v>
      </c>
      <c r="G2" t="s">
        <v>3672</v>
      </c>
      <c r="H2">
        <v>6</v>
      </c>
      <c r="I2">
        <v>4016.25</v>
      </c>
      <c r="J2">
        <v>24097.5</v>
      </c>
    </row>
    <row r="3" spans="1:10">
      <c r="A3" s="4">
        <v>45231</v>
      </c>
      <c r="B3" t="s">
        <v>3675</v>
      </c>
      <c r="C3" t="s">
        <v>3661</v>
      </c>
      <c r="D3" t="s">
        <v>2550</v>
      </c>
      <c r="E3" t="s">
        <v>1537</v>
      </c>
      <c r="F3" t="s">
        <v>1518</v>
      </c>
      <c r="G3" t="s">
        <v>3674</v>
      </c>
      <c r="H3">
        <v>9</v>
      </c>
      <c r="I3">
        <v>3801.85</v>
      </c>
      <c r="J3">
        <v>34216.65</v>
      </c>
    </row>
    <row r="4" spans="1:10">
      <c r="A4" s="4">
        <v>45022</v>
      </c>
      <c r="B4" t="s">
        <v>3676</v>
      </c>
      <c r="C4" t="s">
        <v>3667</v>
      </c>
      <c r="D4" t="s">
        <v>2552</v>
      </c>
      <c r="E4" t="s">
        <v>1537</v>
      </c>
      <c r="F4" t="s">
        <v>1518</v>
      </c>
      <c r="G4" t="s">
        <v>3674</v>
      </c>
      <c r="H4">
        <v>11</v>
      </c>
      <c r="I4">
        <v>3594.07</v>
      </c>
      <c r="J4">
        <v>39534.769999999997</v>
      </c>
    </row>
    <row r="5" spans="1:10">
      <c r="A5" s="4">
        <v>45214</v>
      </c>
      <c r="B5" t="s">
        <v>3675</v>
      </c>
      <c r="C5" t="s">
        <v>3658</v>
      </c>
      <c r="D5" t="s">
        <v>2550</v>
      </c>
      <c r="E5" t="s">
        <v>1537</v>
      </c>
      <c r="F5" t="s">
        <v>1516</v>
      </c>
      <c r="G5" t="s">
        <v>3677</v>
      </c>
      <c r="H5">
        <v>9</v>
      </c>
      <c r="I5">
        <v>4487</v>
      </c>
      <c r="J5">
        <v>40383</v>
      </c>
    </row>
    <row r="6" spans="1:10">
      <c r="A6" s="4">
        <v>45145</v>
      </c>
      <c r="B6" t="s">
        <v>3679</v>
      </c>
      <c r="C6" t="s">
        <v>3654</v>
      </c>
      <c r="D6" t="s">
        <v>2549</v>
      </c>
      <c r="E6" t="s">
        <v>1535</v>
      </c>
      <c r="F6" t="s">
        <v>3657</v>
      </c>
      <c r="G6" t="s">
        <v>3678</v>
      </c>
      <c r="H6">
        <v>17</v>
      </c>
      <c r="I6">
        <v>1240.77</v>
      </c>
      <c r="J6">
        <v>21093.09</v>
      </c>
    </row>
    <row r="7" spans="1:10">
      <c r="A7" s="4">
        <v>45283</v>
      </c>
      <c r="B7" t="s">
        <v>3681</v>
      </c>
      <c r="C7" t="s">
        <v>3656</v>
      </c>
      <c r="D7" t="s">
        <v>2550</v>
      </c>
      <c r="E7" t="s">
        <v>1537</v>
      </c>
      <c r="F7" t="s">
        <v>1518</v>
      </c>
      <c r="G7" t="s">
        <v>3680</v>
      </c>
      <c r="H7">
        <v>7</v>
      </c>
      <c r="I7">
        <v>4772.29</v>
      </c>
      <c r="J7">
        <v>33406.03</v>
      </c>
    </row>
    <row r="8" spans="1:10">
      <c r="A8" s="4">
        <v>45047</v>
      </c>
      <c r="B8" t="s">
        <v>3683</v>
      </c>
      <c r="C8" t="s">
        <v>3655</v>
      </c>
      <c r="D8" t="s">
        <v>2552</v>
      </c>
      <c r="E8" t="s">
        <v>1537</v>
      </c>
      <c r="F8" t="s">
        <v>1514</v>
      </c>
      <c r="G8" t="s">
        <v>3682</v>
      </c>
      <c r="H8">
        <v>5</v>
      </c>
      <c r="I8">
        <v>2196.9899999999998</v>
      </c>
      <c r="J8">
        <v>10984.95</v>
      </c>
    </row>
    <row r="9" spans="1:10">
      <c r="A9" s="4">
        <v>45283</v>
      </c>
      <c r="B9" t="s">
        <v>3684</v>
      </c>
      <c r="C9" t="s">
        <v>3663</v>
      </c>
      <c r="D9" t="s">
        <v>2548</v>
      </c>
      <c r="E9" t="s">
        <v>1535</v>
      </c>
      <c r="F9" t="s">
        <v>1516</v>
      </c>
      <c r="G9" t="s">
        <v>3677</v>
      </c>
      <c r="H9">
        <v>5</v>
      </c>
      <c r="I9">
        <v>967.6</v>
      </c>
      <c r="J9">
        <v>4838</v>
      </c>
    </row>
    <row r="10" spans="1:10">
      <c r="A10" s="4">
        <v>45222</v>
      </c>
      <c r="B10" t="s">
        <v>3675</v>
      </c>
      <c r="C10" t="s">
        <v>3658</v>
      </c>
      <c r="D10" t="s">
        <v>2550</v>
      </c>
      <c r="E10" t="s">
        <v>1537</v>
      </c>
      <c r="F10" t="s">
        <v>1518</v>
      </c>
      <c r="G10" t="s">
        <v>3674</v>
      </c>
      <c r="H10">
        <v>18</v>
      </c>
      <c r="I10">
        <v>3128.59</v>
      </c>
      <c r="J10">
        <v>56314.62</v>
      </c>
    </row>
    <row r="11" spans="1:10">
      <c r="A11" s="4">
        <v>45247</v>
      </c>
      <c r="B11" t="s">
        <v>3676</v>
      </c>
      <c r="C11" t="s">
        <v>3656</v>
      </c>
      <c r="D11" t="s">
        <v>2550</v>
      </c>
      <c r="E11" t="s">
        <v>1537</v>
      </c>
      <c r="F11" t="s">
        <v>1517</v>
      </c>
      <c r="G11" t="s">
        <v>3672</v>
      </c>
      <c r="H11">
        <v>10</v>
      </c>
      <c r="I11">
        <v>2754.3</v>
      </c>
      <c r="J11">
        <v>27543</v>
      </c>
    </row>
    <row r="12" spans="1:10">
      <c r="A12" s="4">
        <v>44972</v>
      </c>
      <c r="B12" t="s">
        <v>3675</v>
      </c>
      <c r="C12" t="s">
        <v>3663</v>
      </c>
      <c r="D12" t="s">
        <v>2548</v>
      </c>
      <c r="E12" t="s">
        <v>1535</v>
      </c>
      <c r="F12" t="s">
        <v>1514</v>
      </c>
      <c r="G12" t="s">
        <v>3685</v>
      </c>
      <c r="H12">
        <v>19</v>
      </c>
      <c r="I12">
        <v>4896.3100000000004</v>
      </c>
      <c r="J12">
        <v>93029.89</v>
      </c>
    </row>
    <row r="13" spans="1:10">
      <c r="A13" s="4">
        <v>45037</v>
      </c>
      <c r="B13" t="s">
        <v>3683</v>
      </c>
      <c r="C13" t="s">
        <v>3655</v>
      </c>
      <c r="D13" t="s">
        <v>2552</v>
      </c>
      <c r="E13" t="s">
        <v>1537</v>
      </c>
      <c r="F13" t="s">
        <v>1516</v>
      </c>
      <c r="G13" t="s">
        <v>3686</v>
      </c>
      <c r="H13">
        <v>19</v>
      </c>
      <c r="I13">
        <v>4562.0200000000004</v>
      </c>
      <c r="J13">
        <v>86678.38</v>
      </c>
    </row>
    <row r="14" spans="1:10">
      <c r="A14" s="4">
        <v>44938</v>
      </c>
      <c r="B14" t="s">
        <v>3681</v>
      </c>
      <c r="C14" t="s">
        <v>3654</v>
      </c>
      <c r="D14" t="s">
        <v>2549</v>
      </c>
      <c r="E14" t="s">
        <v>1535</v>
      </c>
      <c r="F14" t="s">
        <v>1518</v>
      </c>
      <c r="G14" t="s">
        <v>3680</v>
      </c>
      <c r="H14">
        <v>6</v>
      </c>
      <c r="I14">
        <v>4231.7700000000004</v>
      </c>
      <c r="J14">
        <v>25390.62</v>
      </c>
    </row>
    <row r="15" spans="1:10">
      <c r="A15" s="4">
        <v>44952</v>
      </c>
      <c r="B15" t="s">
        <v>3688</v>
      </c>
      <c r="C15" t="s">
        <v>3663</v>
      </c>
      <c r="D15" t="s">
        <v>2548</v>
      </c>
      <c r="E15" t="s">
        <v>1535</v>
      </c>
      <c r="F15" t="s">
        <v>1516</v>
      </c>
      <c r="G15" t="s">
        <v>3687</v>
      </c>
      <c r="H15">
        <v>20</v>
      </c>
      <c r="I15">
        <v>1027.53</v>
      </c>
      <c r="J15">
        <v>20550.599999999999</v>
      </c>
    </row>
    <row r="16" spans="1:10">
      <c r="A16" s="4">
        <v>45073</v>
      </c>
      <c r="B16" t="s">
        <v>3689</v>
      </c>
      <c r="C16" t="s">
        <v>3660</v>
      </c>
      <c r="D16" t="s">
        <v>2549</v>
      </c>
      <c r="E16" t="s">
        <v>1535</v>
      </c>
      <c r="F16" t="s">
        <v>1516</v>
      </c>
      <c r="G16" t="s">
        <v>3686</v>
      </c>
      <c r="H16">
        <v>7</v>
      </c>
      <c r="I16">
        <v>1257.3399999999999</v>
      </c>
      <c r="J16">
        <v>8801.3799999999992</v>
      </c>
    </row>
    <row r="17" spans="1:10">
      <c r="A17" s="4">
        <v>45258</v>
      </c>
      <c r="B17" t="s">
        <v>3683</v>
      </c>
      <c r="C17" t="s">
        <v>3669</v>
      </c>
      <c r="D17" t="s">
        <v>2551</v>
      </c>
      <c r="E17" t="s">
        <v>1538</v>
      </c>
      <c r="F17" t="s">
        <v>1516</v>
      </c>
      <c r="G17" t="s">
        <v>3687</v>
      </c>
      <c r="H17">
        <v>9</v>
      </c>
      <c r="I17">
        <v>2634.14</v>
      </c>
      <c r="J17">
        <v>23707.26</v>
      </c>
    </row>
    <row r="18" spans="1:10">
      <c r="A18" s="4">
        <v>45079</v>
      </c>
      <c r="B18" t="s">
        <v>3679</v>
      </c>
      <c r="C18" t="s">
        <v>3665</v>
      </c>
      <c r="D18" t="s">
        <v>2549</v>
      </c>
      <c r="E18" t="s">
        <v>1535</v>
      </c>
      <c r="F18" t="s">
        <v>1517</v>
      </c>
      <c r="G18" t="s">
        <v>3672</v>
      </c>
      <c r="H18">
        <v>11</v>
      </c>
      <c r="I18">
        <v>4509.49</v>
      </c>
      <c r="J18">
        <v>49604.39</v>
      </c>
    </row>
    <row r="19" spans="1:10">
      <c r="A19" s="4">
        <v>44981</v>
      </c>
      <c r="B19" t="s">
        <v>3681</v>
      </c>
      <c r="C19" t="s">
        <v>3666</v>
      </c>
      <c r="D19" t="s">
        <v>2548</v>
      </c>
      <c r="E19" t="s">
        <v>1535</v>
      </c>
      <c r="F19" t="s">
        <v>3657</v>
      </c>
      <c r="G19" t="s">
        <v>3690</v>
      </c>
      <c r="H19">
        <v>3</v>
      </c>
      <c r="I19">
        <v>2738.83</v>
      </c>
      <c r="J19">
        <v>8216.49</v>
      </c>
    </row>
    <row r="20" spans="1:10">
      <c r="A20" s="4">
        <v>44974</v>
      </c>
      <c r="B20" t="s">
        <v>3681</v>
      </c>
      <c r="C20" t="s">
        <v>3660</v>
      </c>
      <c r="D20" t="s">
        <v>2549</v>
      </c>
      <c r="E20" t="s">
        <v>1535</v>
      </c>
      <c r="F20" t="s">
        <v>1516</v>
      </c>
      <c r="G20" t="s">
        <v>3677</v>
      </c>
      <c r="H20">
        <v>10</v>
      </c>
      <c r="I20">
        <v>4247.74</v>
      </c>
      <c r="J20">
        <v>42477.4</v>
      </c>
    </row>
    <row r="21" spans="1:10">
      <c r="A21" s="4">
        <v>44972</v>
      </c>
      <c r="B21" t="s">
        <v>3676</v>
      </c>
      <c r="C21" t="s">
        <v>3655</v>
      </c>
      <c r="D21" t="s">
        <v>2552</v>
      </c>
      <c r="E21" t="s">
        <v>1537</v>
      </c>
      <c r="F21" t="s">
        <v>1518</v>
      </c>
      <c r="G21" t="s">
        <v>3680</v>
      </c>
      <c r="H21">
        <v>3</v>
      </c>
      <c r="I21">
        <v>1133.19</v>
      </c>
      <c r="J21">
        <v>3399.57</v>
      </c>
    </row>
    <row r="22" spans="1:10">
      <c r="A22" s="4">
        <v>44976</v>
      </c>
      <c r="B22" t="s">
        <v>3691</v>
      </c>
      <c r="C22" t="s">
        <v>3668</v>
      </c>
      <c r="D22" t="s">
        <v>2551</v>
      </c>
      <c r="E22" t="s">
        <v>1538</v>
      </c>
      <c r="F22" t="s">
        <v>1514</v>
      </c>
      <c r="G22" t="s">
        <v>3685</v>
      </c>
      <c r="H22">
        <v>6</v>
      </c>
      <c r="I22">
        <v>623.22</v>
      </c>
      <c r="J22">
        <v>3739.32</v>
      </c>
    </row>
    <row r="23" spans="1:10">
      <c r="A23" s="4">
        <v>45044</v>
      </c>
      <c r="B23" t="s">
        <v>3679</v>
      </c>
      <c r="C23" t="s">
        <v>3661</v>
      </c>
      <c r="D23" t="s">
        <v>2550</v>
      </c>
      <c r="E23" t="s">
        <v>1537</v>
      </c>
      <c r="F23" t="s">
        <v>1518</v>
      </c>
      <c r="G23" t="s">
        <v>3674</v>
      </c>
      <c r="H23">
        <v>18</v>
      </c>
      <c r="I23">
        <v>698.42</v>
      </c>
      <c r="J23">
        <v>12571.56</v>
      </c>
    </row>
    <row r="24" spans="1:10">
      <c r="A24" s="4">
        <v>45266</v>
      </c>
      <c r="B24" t="s">
        <v>3684</v>
      </c>
      <c r="C24" t="s">
        <v>3662</v>
      </c>
      <c r="D24" t="s">
        <v>2552</v>
      </c>
      <c r="E24" t="s">
        <v>1537</v>
      </c>
      <c r="F24" t="s">
        <v>3657</v>
      </c>
      <c r="G24" t="s">
        <v>3692</v>
      </c>
      <c r="H24">
        <v>19</v>
      </c>
      <c r="I24">
        <v>2494.11</v>
      </c>
      <c r="J24">
        <v>47388.09</v>
      </c>
    </row>
    <row r="25" spans="1:10">
      <c r="A25" s="4">
        <v>45101</v>
      </c>
      <c r="B25" t="s">
        <v>3683</v>
      </c>
      <c r="C25" t="s">
        <v>3656</v>
      </c>
      <c r="D25" t="s">
        <v>2550</v>
      </c>
      <c r="E25" t="s">
        <v>1537</v>
      </c>
      <c r="F25" t="s">
        <v>3657</v>
      </c>
      <c r="G25" t="s">
        <v>3692</v>
      </c>
      <c r="H25">
        <v>15</v>
      </c>
      <c r="I25">
        <v>3368.77</v>
      </c>
      <c r="J25">
        <v>50531.55</v>
      </c>
    </row>
    <row r="26" spans="1:10">
      <c r="A26" s="4">
        <v>45012</v>
      </c>
      <c r="B26" t="s">
        <v>3676</v>
      </c>
      <c r="C26" t="s">
        <v>3655</v>
      </c>
      <c r="D26" t="s">
        <v>2552</v>
      </c>
      <c r="E26" t="s">
        <v>1537</v>
      </c>
      <c r="F26" t="s">
        <v>1517</v>
      </c>
      <c r="G26" t="s">
        <v>3693</v>
      </c>
      <c r="H26">
        <v>2</v>
      </c>
      <c r="I26">
        <v>962.28</v>
      </c>
      <c r="J26">
        <v>1924.56</v>
      </c>
    </row>
    <row r="27" spans="1:10">
      <c r="A27" s="4">
        <v>45017</v>
      </c>
      <c r="B27" t="s">
        <v>3691</v>
      </c>
      <c r="C27" t="s">
        <v>3665</v>
      </c>
      <c r="D27" t="s">
        <v>2549</v>
      </c>
      <c r="E27" t="s">
        <v>1535</v>
      </c>
      <c r="F27" t="s">
        <v>1516</v>
      </c>
      <c r="G27" t="s">
        <v>3687</v>
      </c>
      <c r="H27">
        <v>19</v>
      </c>
      <c r="I27">
        <v>1065.27</v>
      </c>
      <c r="J27">
        <v>20240.13</v>
      </c>
    </row>
    <row r="28" spans="1:10">
      <c r="A28" s="4">
        <v>45277</v>
      </c>
      <c r="B28" t="s">
        <v>3691</v>
      </c>
      <c r="C28" t="s">
        <v>3663</v>
      </c>
      <c r="D28" t="s">
        <v>2548</v>
      </c>
      <c r="E28" t="s">
        <v>1535</v>
      </c>
      <c r="F28" t="s">
        <v>3657</v>
      </c>
      <c r="G28" t="s">
        <v>3690</v>
      </c>
      <c r="H28">
        <v>10</v>
      </c>
      <c r="I28">
        <v>4507.62</v>
      </c>
      <c r="J28">
        <v>45076.2</v>
      </c>
    </row>
    <row r="29" spans="1:10">
      <c r="A29" s="4">
        <v>45128</v>
      </c>
      <c r="B29" t="s">
        <v>3679</v>
      </c>
      <c r="C29" t="s">
        <v>3668</v>
      </c>
      <c r="D29" t="s">
        <v>2551</v>
      </c>
      <c r="E29" t="s">
        <v>1538</v>
      </c>
      <c r="F29" t="s">
        <v>1516</v>
      </c>
      <c r="G29" t="s">
        <v>3686</v>
      </c>
      <c r="H29">
        <v>4</v>
      </c>
      <c r="I29">
        <v>4373.75</v>
      </c>
      <c r="J29">
        <v>17495</v>
      </c>
    </row>
    <row r="30" spans="1:10">
      <c r="A30" s="4">
        <v>45167</v>
      </c>
      <c r="B30" t="s">
        <v>3688</v>
      </c>
      <c r="C30" t="s">
        <v>3661</v>
      </c>
      <c r="D30" t="s">
        <v>2550</v>
      </c>
      <c r="E30" t="s">
        <v>1537</v>
      </c>
      <c r="F30" t="s">
        <v>1516</v>
      </c>
      <c r="G30" t="s">
        <v>3686</v>
      </c>
      <c r="H30">
        <v>4</v>
      </c>
      <c r="I30">
        <v>791.28</v>
      </c>
      <c r="J30">
        <v>3165.12</v>
      </c>
    </row>
    <row r="31" spans="1:10">
      <c r="A31" s="4">
        <v>45052</v>
      </c>
      <c r="B31" t="s">
        <v>3684</v>
      </c>
      <c r="C31" t="s">
        <v>3655</v>
      </c>
      <c r="D31" t="s">
        <v>2552</v>
      </c>
      <c r="E31" t="s">
        <v>1537</v>
      </c>
      <c r="F31" t="s">
        <v>3657</v>
      </c>
      <c r="G31" t="s">
        <v>3678</v>
      </c>
      <c r="H31">
        <v>14</v>
      </c>
      <c r="I31">
        <v>4868.33</v>
      </c>
      <c r="J31">
        <v>68156.62</v>
      </c>
    </row>
    <row r="32" spans="1:10">
      <c r="A32" s="4">
        <v>45258</v>
      </c>
      <c r="B32" t="s">
        <v>3683</v>
      </c>
      <c r="C32" t="s">
        <v>3669</v>
      </c>
      <c r="D32" t="s">
        <v>2551</v>
      </c>
      <c r="E32" t="s">
        <v>1538</v>
      </c>
      <c r="F32" t="s">
        <v>1516</v>
      </c>
      <c r="G32" t="s">
        <v>3687</v>
      </c>
      <c r="H32">
        <v>12</v>
      </c>
      <c r="I32">
        <v>1958.77</v>
      </c>
      <c r="J32">
        <v>23505.24</v>
      </c>
    </row>
    <row r="33" spans="1:10">
      <c r="A33" s="4">
        <v>44939</v>
      </c>
      <c r="B33" t="s">
        <v>3676</v>
      </c>
      <c r="C33" t="s">
        <v>3665</v>
      </c>
      <c r="D33" t="s">
        <v>2549</v>
      </c>
      <c r="E33" t="s">
        <v>1535</v>
      </c>
      <c r="F33" t="s">
        <v>1518</v>
      </c>
      <c r="G33" t="s">
        <v>3680</v>
      </c>
      <c r="H33">
        <v>10</v>
      </c>
      <c r="I33">
        <v>3690.75</v>
      </c>
      <c r="J33">
        <v>36907.5</v>
      </c>
    </row>
    <row r="34" spans="1:10">
      <c r="A34" s="4">
        <v>45097</v>
      </c>
      <c r="B34" t="s">
        <v>3676</v>
      </c>
      <c r="C34" t="s">
        <v>3663</v>
      </c>
      <c r="D34" t="s">
        <v>2548</v>
      </c>
      <c r="E34" t="s">
        <v>1535</v>
      </c>
      <c r="F34" t="s">
        <v>1518</v>
      </c>
      <c r="G34" t="s">
        <v>3680</v>
      </c>
      <c r="H34">
        <v>17</v>
      </c>
      <c r="I34">
        <v>1037.05</v>
      </c>
      <c r="J34">
        <v>17629.849999999999</v>
      </c>
    </row>
    <row r="35" spans="1:10">
      <c r="A35" s="4">
        <v>44937</v>
      </c>
      <c r="B35" t="s">
        <v>3689</v>
      </c>
      <c r="C35" t="s">
        <v>3662</v>
      </c>
      <c r="D35" t="s">
        <v>2552</v>
      </c>
      <c r="E35" t="s">
        <v>1537</v>
      </c>
      <c r="F35" t="s">
        <v>3657</v>
      </c>
      <c r="G35" t="s">
        <v>3694</v>
      </c>
      <c r="H35">
        <v>17</v>
      </c>
      <c r="I35">
        <v>2215.5500000000002</v>
      </c>
      <c r="J35">
        <v>37664.35</v>
      </c>
    </row>
    <row r="36" spans="1:10">
      <c r="A36" s="4">
        <v>45260</v>
      </c>
      <c r="B36" t="s">
        <v>3689</v>
      </c>
      <c r="C36" t="s">
        <v>3658</v>
      </c>
      <c r="D36" t="s">
        <v>2550</v>
      </c>
      <c r="E36" t="s">
        <v>1537</v>
      </c>
      <c r="F36" t="s">
        <v>1516</v>
      </c>
      <c r="G36" t="s">
        <v>3695</v>
      </c>
      <c r="H36">
        <v>19</v>
      </c>
      <c r="I36">
        <v>1343.6</v>
      </c>
      <c r="J36">
        <v>25528.400000000001</v>
      </c>
    </row>
    <row r="37" spans="1:10">
      <c r="A37" s="4">
        <v>45056</v>
      </c>
      <c r="B37" t="s">
        <v>3689</v>
      </c>
      <c r="C37" t="s">
        <v>3660</v>
      </c>
      <c r="D37" t="s">
        <v>2549</v>
      </c>
      <c r="E37" t="s">
        <v>1535</v>
      </c>
      <c r="F37" t="s">
        <v>3657</v>
      </c>
      <c r="G37" t="s">
        <v>3678</v>
      </c>
      <c r="H37">
        <v>8</v>
      </c>
      <c r="I37">
        <v>4455.43</v>
      </c>
      <c r="J37">
        <v>35643.440000000002</v>
      </c>
    </row>
    <row r="38" spans="1:10">
      <c r="A38" s="4">
        <v>44950</v>
      </c>
      <c r="B38" t="s">
        <v>3684</v>
      </c>
      <c r="C38" t="s">
        <v>3656</v>
      </c>
      <c r="D38" t="s">
        <v>2550</v>
      </c>
      <c r="E38" t="s">
        <v>1537</v>
      </c>
      <c r="F38" t="s">
        <v>1518</v>
      </c>
      <c r="G38" t="s">
        <v>3696</v>
      </c>
      <c r="H38">
        <v>9</v>
      </c>
      <c r="I38">
        <v>3892.79</v>
      </c>
      <c r="J38">
        <v>35035.11</v>
      </c>
    </row>
    <row r="39" spans="1:10">
      <c r="A39" s="4">
        <v>45266</v>
      </c>
      <c r="B39" t="s">
        <v>3684</v>
      </c>
      <c r="C39" t="s">
        <v>3668</v>
      </c>
      <c r="D39" t="s">
        <v>2551</v>
      </c>
      <c r="E39" t="s">
        <v>1538</v>
      </c>
      <c r="F39" t="s">
        <v>1514</v>
      </c>
      <c r="G39" t="s">
        <v>3685</v>
      </c>
      <c r="H39">
        <v>9</v>
      </c>
      <c r="I39">
        <v>4618.59</v>
      </c>
      <c r="J39">
        <v>41567.31</v>
      </c>
    </row>
    <row r="40" spans="1:10">
      <c r="A40" s="4">
        <v>45161</v>
      </c>
      <c r="B40" t="s">
        <v>3688</v>
      </c>
      <c r="C40" t="s">
        <v>3662</v>
      </c>
      <c r="D40" t="s">
        <v>2552</v>
      </c>
      <c r="E40" t="s">
        <v>1537</v>
      </c>
      <c r="F40" t="s">
        <v>1516</v>
      </c>
      <c r="G40" t="s">
        <v>3695</v>
      </c>
      <c r="H40">
        <v>11</v>
      </c>
      <c r="I40">
        <v>3385.93</v>
      </c>
      <c r="J40">
        <v>37245.230000000003</v>
      </c>
    </row>
    <row r="41" spans="1:10">
      <c r="A41" s="4">
        <v>44975</v>
      </c>
      <c r="B41" t="s">
        <v>3684</v>
      </c>
      <c r="C41" t="s">
        <v>3663</v>
      </c>
      <c r="D41" t="s">
        <v>2548</v>
      </c>
      <c r="E41" t="s">
        <v>1535</v>
      </c>
      <c r="F41" t="s">
        <v>1518</v>
      </c>
      <c r="G41" t="s">
        <v>3680</v>
      </c>
      <c r="H41">
        <v>14</v>
      </c>
      <c r="I41">
        <v>2452.98</v>
      </c>
      <c r="J41">
        <v>34341.72</v>
      </c>
    </row>
    <row r="42" spans="1:10">
      <c r="A42" s="4">
        <v>45142</v>
      </c>
      <c r="B42" t="s">
        <v>3673</v>
      </c>
      <c r="C42" t="s">
        <v>3667</v>
      </c>
      <c r="D42" t="s">
        <v>2552</v>
      </c>
      <c r="E42" t="s">
        <v>1537</v>
      </c>
      <c r="F42" t="s">
        <v>1514</v>
      </c>
      <c r="G42" t="s">
        <v>3682</v>
      </c>
      <c r="H42">
        <v>16</v>
      </c>
      <c r="I42">
        <v>695.96</v>
      </c>
      <c r="J42">
        <v>11135.36</v>
      </c>
    </row>
    <row r="43" spans="1:10">
      <c r="A43" s="4">
        <v>44986</v>
      </c>
      <c r="B43" t="s">
        <v>3679</v>
      </c>
      <c r="C43" t="s">
        <v>3663</v>
      </c>
      <c r="D43" t="s">
        <v>2548</v>
      </c>
      <c r="E43" t="s">
        <v>1535</v>
      </c>
      <c r="F43" t="s">
        <v>1514</v>
      </c>
      <c r="G43" t="s">
        <v>3697</v>
      </c>
      <c r="H43">
        <v>1</v>
      </c>
      <c r="I43">
        <v>1979.54</v>
      </c>
      <c r="J43">
        <v>1979.54</v>
      </c>
    </row>
    <row r="44" spans="1:10">
      <c r="A44" s="4">
        <v>45016</v>
      </c>
      <c r="B44" t="s">
        <v>3683</v>
      </c>
      <c r="C44" t="s">
        <v>3668</v>
      </c>
      <c r="D44" t="s">
        <v>2551</v>
      </c>
      <c r="E44" t="s">
        <v>1538</v>
      </c>
      <c r="F44" t="s">
        <v>1518</v>
      </c>
      <c r="G44" t="s">
        <v>3674</v>
      </c>
      <c r="H44">
        <v>9</v>
      </c>
      <c r="I44">
        <v>3727.82</v>
      </c>
      <c r="J44">
        <v>33550.379999999997</v>
      </c>
    </row>
    <row r="45" spans="1:10">
      <c r="A45" s="4">
        <v>45031</v>
      </c>
      <c r="B45" t="s">
        <v>3673</v>
      </c>
      <c r="C45" t="s">
        <v>3666</v>
      </c>
      <c r="D45" t="s">
        <v>2548</v>
      </c>
      <c r="E45" t="s">
        <v>1535</v>
      </c>
      <c r="F45" t="s">
        <v>3657</v>
      </c>
      <c r="G45" t="s">
        <v>3694</v>
      </c>
      <c r="H45">
        <v>1</v>
      </c>
      <c r="I45">
        <v>1495.61</v>
      </c>
      <c r="J45">
        <v>1495.61</v>
      </c>
    </row>
    <row r="46" spans="1:10">
      <c r="A46" s="4">
        <v>45288</v>
      </c>
      <c r="B46" t="s">
        <v>3688</v>
      </c>
      <c r="C46" t="s">
        <v>3654</v>
      </c>
      <c r="D46" t="s">
        <v>2549</v>
      </c>
      <c r="E46" t="s">
        <v>1535</v>
      </c>
      <c r="F46" t="s">
        <v>1516</v>
      </c>
      <c r="G46" t="s">
        <v>3686</v>
      </c>
      <c r="H46">
        <v>18</v>
      </c>
      <c r="I46">
        <v>1928.15</v>
      </c>
      <c r="J46">
        <v>34706.699999999997</v>
      </c>
    </row>
    <row r="47" spans="1:10">
      <c r="A47" s="4">
        <v>44989</v>
      </c>
      <c r="B47" t="s">
        <v>3681</v>
      </c>
      <c r="C47" t="s">
        <v>3654</v>
      </c>
      <c r="D47" t="s">
        <v>2549</v>
      </c>
      <c r="E47" t="s">
        <v>1535</v>
      </c>
      <c r="F47" t="s">
        <v>1518</v>
      </c>
      <c r="G47" t="s">
        <v>3680</v>
      </c>
      <c r="H47">
        <v>1</v>
      </c>
      <c r="I47">
        <v>4192.3900000000003</v>
      </c>
      <c r="J47">
        <v>4192.3900000000003</v>
      </c>
    </row>
    <row r="48" spans="1:10">
      <c r="A48" s="4">
        <v>44961</v>
      </c>
      <c r="B48" t="s">
        <v>3688</v>
      </c>
      <c r="C48" t="s">
        <v>3656</v>
      </c>
      <c r="D48" t="s">
        <v>2550</v>
      </c>
      <c r="E48" t="s">
        <v>1537</v>
      </c>
      <c r="F48" t="s">
        <v>1514</v>
      </c>
      <c r="G48" t="s">
        <v>3698</v>
      </c>
      <c r="H48">
        <v>7</v>
      </c>
      <c r="I48">
        <v>4988.71</v>
      </c>
      <c r="J48">
        <v>34920.97</v>
      </c>
    </row>
    <row r="49" spans="1:10">
      <c r="A49" s="4">
        <v>45035</v>
      </c>
      <c r="B49" t="s">
        <v>3684</v>
      </c>
      <c r="C49" t="s">
        <v>3662</v>
      </c>
      <c r="D49" t="s">
        <v>2552</v>
      </c>
      <c r="E49" t="s">
        <v>1537</v>
      </c>
      <c r="F49" t="s">
        <v>1516</v>
      </c>
      <c r="G49" t="s">
        <v>3686</v>
      </c>
      <c r="H49">
        <v>9</v>
      </c>
      <c r="I49">
        <v>1328.13</v>
      </c>
      <c r="J49">
        <v>11953.17</v>
      </c>
    </row>
    <row r="50" spans="1:10">
      <c r="A50" s="4">
        <v>45190</v>
      </c>
      <c r="B50" t="s">
        <v>3688</v>
      </c>
      <c r="C50" t="s">
        <v>3665</v>
      </c>
      <c r="D50" t="s">
        <v>2549</v>
      </c>
      <c r="E50" t="s">
        <v>1535</v>
      </c>
      <c r="F50" t="s">
        <v>1517</v>
      </c>
      <c r="G50" t="s">
        <v>3699</v>
      </c>
      <c r="H50">
        <v>9</v>
      </c>
      <c r="I50">
        <v>722.44</v>
      </c>
      <c r="J50">
        <v>6501.96</v>
      </c>
    </row>
    <row r="51" spans="1:10">
      <c r="A51" s="4">
        <v>45220</v>
      </c>
      <c r="B51" t="s">
        <v>3676</v>
      </c>
      <c r="C51" t="s">
        <v>3660</v>
      </c>
      <c r="D51" t="s">
        <v>2549</v>
      </c>
      <c r="E51" t="s">
        <v>1535</v>
      </c>
      <c r="F51" t="s">
        <v>1516</v>
      </c>
      <c r="G51" t="s">
        <v>3686</v>
      </c>
      <c r="H51">
        <v>2</v>
      </c>
      <c r="I51">
        <v>4726.0600000000004</v>
      </c>
      <c r="J51">
        <v>9452.1200000000008</v>
      </c>
    </row>
    <row r="52" spans="1:10">
      <c r="A52" s="4">
        <v>44963</v>
      </c>
      <c r="B52" t="s">
        <v>3684</v>
      </c>
      <c r="C52" t="s">
        <v>3667</v>
      </c>
      <c r="D52" t="s">
        <v>2552</v>
      </c>
      <c r="E52" t="s">
        <v>1537</v>
      </c>
      <c r="F52" t="s">
        <v>1516</v>
      </c>
      <c r="G52" t="s">
        <v>3687</v>
      </c>
      <c r="H52">
        <v>3</v>
      </c>
      <c r="I52">
        <v>2263.4699999999998</v>
      </c>
      <c r="J52">
        <v>6790.41</v>
      </c>
    </row>
    <row r="53" spans="1:10">
      <c r="A53" s="4">
        <v>45042</v>
      </c>
      <c r="B53" t="s">
        <v>3676</v>
      </c>
      <c r="C53" t="s">
        <v>3655</v>
      </c>
      <c r="D53" t="s">
        <v>2552</v>
      </c>
      <c r="E53" t="s">
        <v>1537</v>
      </c>
      <c r="F53" t="s">
        <v>1517</v>
      </c>
      <c r="G53" t="s">
        <v>3693</v>
      </c>
      <c r="H53">
        <v>20</v>
      </c>
      <c r="I53">
        <v>4365.58</v>
      </c>
      <c r="J53">
        <v>87311.6</v>
      </c>
    </row>
    <row r="54" spans="1:10">
      <c r="A54" s="4">
        <v>44942</v>
      </c>
      <c r="B54" t="s">
        <v>3689</v>
      </c>
      <c r="C54" t="s">
        <v>3659</v>
      </c>
      <c r="D54" t="s">
        <v>2551</v>
      </c>
      <c r="E54" t="s">
        <v>1538</v>
      </c>
      <c r="F54" t="s">
        <v>1514</v>
      </c>
      <c r="G54" t="s">
        <v>3682</v>
      </c>
      <c r="H54">
        <v>20</v>
      </c>
      <c r="I54">
        <v>3925.65</v>
      </c>
      <c r="J54">
        <v>78513</v>
      </c>
    </row>
    <row r="55" spans="1:10">
      <c r="A55" s="4">
        <v>45202</v>
      </c>
      <c r="B55" t="s">
        <v>3675</v>
      </c>
      <c r="C55" t="s">
        <v>3656</v>
      </c>
      <c r="D55" t="s">
        <v>2550</v>
      </c>
      <c r="E55" t="s">
        <v>1537</v>
      </c>
      <c r="F55" t="s">
        <v>1517</v>
      </c>
      <c r="G55" t="s">
        <v>3699</v>
      </c>
      <c r="H55">
        <v>3</v>
      </c>
      <c r="I55">
        <v>3613.98</v>
      </c>
      <c r="J55">
        <v>10841.94</v>
      </c>
    </row>
    <row r="56" spans="1:10">
      <c r="A56" s="4">
        <v>45088</v>
      </c>
      <c r="B56" t="s">
        <v>3688</v>
      </c>
      <c r="C56" t="s">
        <v>3654</v>
      </c>
      <c r="D56" t="s">
        <v>2549</v>
      </c>
      <c r="E56" t="s">
        <v>1535</v>
      </c>
      <c r="F56" t="s">
        <v>1518</v>
      </c>
      <c r="G56" t="s">
        <v>3696</v>
      </c>
      <c r="H56">
        <v>7</v>
      </c>
      <c r="I56">
        <v>2483.54</v>
      </c>
      <c r="J56">
        <v>17384.78</v>
      </c>
    </row>
    <row r="57" spans="1:10">
      <c r="A57" s="4">
        <v>45201</v>
      </c>
      <c r="B57" t="s">
        <v>3681</v>
      </c>
      <c r="C57" t="s">
        <v>3669</v>
      </c>
      <c r="D57" t="s">
        <v>2551</v>
      </c>
      <c r="E57" t="s">
        <v>1538</v>
      </c>
      <c r="F57" t="s">
        <v>1517</v>
      </c>
      <c r="G57" t="s">
        <v>3699</v>
      </c>
      <c r="H57">
        <v>14</v>
      </c>
      <c r="I57">
        <v>2145.21</v>
      </c>
      <c r="J57">
        <v>30032.94</v>
      </c>
    </row>
    <row r="58" spans="1:10">
      <c r="A58" s="4">
        <v>45254</v>
      </c>
      <c r="B58" t="s">
        <v>3688</v>
      </c>
      <c r="C58" t="s">
        <v>3662</v>
      </c>
      <c r="D58" t="s">
        <v>2552</v>
      </c>
      <c r="E58" t="s">
        <v>1537</v>
      </c>
      <c r="F58" t="s">
        <v>1514</v>
      </c>
      <c r="G58" t="s">
        <v>3697</v>
      </c>
      <c r="H58">
        <v>8</v>
      </c>
      <c r="I58">
        <v>4997.45</v>
      </c>
      <c r="J58">
        <v>39979.599999999999</v>
      </c>
    </row>
    <row r="59" spans="1:10">
      <c r="A59" s="4">
        <v>45116</v>
      </c>
      <c r="B59" t="s">
        <v>3689</v>
      </c>
      <c r="C59" t="s">
        <v>3663</v>
      </c>
      <c r="D59" t="s">
        <v>2548</v>
      </c>
      <c r="E59" t="s">
        <v>1535</v>
      </c>
      <c r="F59" t="s">
        <v>1514</v>
      </c>
      <c r="G59" t="s">
        <v>3685</v>
      </c>
      <c r="H59">
        <v>3</v>
      </c>
      <c r="I59">
        <v>1753.98</v>
      </c>
      <c r="J59">
        <v>5261.94</v>
      </c>
    </row>
    <row r="60" spans="1:10">
      <c r="A60" s="4">
        <v>45036</v>
      </c>
      <c r="B60" t="s">
        <v>3683</v>
      </c>
      <c r="C60" t="s">
        <v>3655</v>
      </c>
      <c r="D60" t="s">
        <v>2552</v>
      </c>
      <c r="E60" t="s">
        <v>1537</v>
      </c>
      <c r="F60" t="s">
        <v>1514</v>
      </c>
      <c r="G60" t="s">
        <v>3697</v>
      </c>
      <c r="H60">
        <v>2</v>
      </c>
      <c r="I60">
        <v>1207.92</v>
      </c>
      <c r="J60">
        <v>2415.84</v>
      </c>
    </row>
    <row r="61" spans="1:10">
      <c r="A61" s="4">
        <v>44995</v>
      </c>
      <c r="B61" t="s">
        <v>3679</v>
      </c>
      <c r="C61" t="s">
        <v>3665</v>
      </c>
      <c r="D61" t="s">
        <v>2549</v>
      </c>
      <c r="E61" t="s">
        <v>1535</v>
      </c>
      <c r="F61" t="s">
        <v>1514</v>
      </c>
      <c r="G61" t="s">
        <v>3698</v>
      </c>
      <c r="H61">
        <v>13</v>
      </c>
      <c r="I61">
        <v>4196.33</v>
      </c>
      <c r="J61">
        <v>54552.29</v>
      </c>
    </row>
    <row r="62" spans="1:10">
      <c r="A62" s="4">
        <v>45049</v>
      </c>
      <c r="B62" t="s">
        <v>3691</v>
      </c>
      <c r="C62" t="s">
        <v>3664</v>
      </c>
      <c r="D62" t="s">
        <v>2548</v>
      </c>
      <c r="E62" t="s">
        <v>1535</v>
      </c>
      <c r="F62" t="s">
        <v>1518</v>
      </c>
      <c r="G62" t="s">
        <v>3674</v>
      </c>
      <c r="H62">
        <v>18</v>
      </c>
      <c r="I62">
        <v>1310.78</v>
      </c>
      <c r="J62">
        <v>23594.04</v>
      </c>
    </row>
    <row r="63" spans="1:10">
      <c r="A63" s="4">
        <v>45228</v>
      </c>
      <c r="B63" t="s">
        <v>3689</v>
      </c>
      <c r="C63" t="s">
        <v>3665</v>
      </c>
      <c r="D63" t="s">
        <v>2549</v>
      </c>
      <c r="E63" t="s">
        <v>1535</v>
      </c>
      <c r="F63" t="s">
        <v>1517</v>
      </c>
      <c r="G63" t="s">
        <v>3699</v>
      </c>
      <c r="H63">
        <v>20</v>
      </c>
      <c r="I63">
        <v>2142.9</v>
      </c>
      <c r="J63">
        <v>42858</v>
      </c>
    </row>
    <row r="64" spans="1:10">
      <c r="A64" s="4">
        <v>45263</v>
      </c>
      <c r="B64" t="s">
        <v>3691</v>
      </c>
      <c r="C64" t="s">
        <v>3659</v>
      </c>
      <c r="D64" t="s">
        <v>2551</v>
      </c>
      <c r="E64" t="s">
        <v>1538</v>
      </c>
      <c r="F64" t="s">
        <v>1514</v>
      </c>
      <c r="G64" t="s">
        <v>3698</v>
      </c>
      <c r="H64">
        <v>19</v>
      </c>
      <c r="I64">
        <v>1359.7</v>
      </c>
      <c r="J64">
        <v>25834.3</v>
      </c>
    </row>
    <row r="65" spans="1:10">
      <c r="A65" s="4">
        <v>45072</v>
      </c>
      <c r="B65" t="s">
        <v>3673</v>
      </c>
      <c r="C65" t="s">
        <v>3662</v>
      </c>
      <c r="D65" t="s">
        <v>2552</v>
      </c>
      <c r="E65" t="s">
        <v>1537</v>
      </c>
      <c r="F65" t="s">
        <v>1517</v>
      </c>
      <c r="G65" t="s">
        <v>3699</v>
      </c>
      <c r="H65">
        <v>16</v>
      </c>
      <c r="I65">
        <v>4896.07</v>
      </c>
      <c r="J65">
        <v>78337.119999999995</v>
      </c>
    </row>
    <row r="66" spans="1:10">
      <c r="A66" s="4">
        <v>45286</v>
      </c>
      <c r="B66" t="s">
        <v>3681</v>
      </c>
      <c r="C66" t="s">
        <v>3667</v>
      </c>
      <c r="D66" t="s">
        <v>2552</v>
      </c>
      <c r="E66" t="s">
        <v>1537</v>
      </c>
      <c r="F66" t="s">
        <v>1518</v>
      </c>
      <c r="G66" t="s">
        <v>3696</v>
      </c>
      <c r="H66">
        <v>8</v>
      </c>
      <c r="I66">
        <v>4216.03</v>
      </c>
      <c r="J66">
        <v>33728.239999999998</v>
      </c>
    </row>
    <row r="67" spans="1:10">
      <c r="A67" s="4">
        <v>45143</v>
      </c>
      <c r="B67" t="s">
        <v>3679</v>
      </c>
      <c r="C67" t="s">
        <v>3665</v>
      </c>
      <c r="D67" t="s">
        <v>2549</v>
      </c>
      <c r="E67" t="s">
        <v>1535</v>
      </c>
      <c r="F67" t="s">
        <v>3657</v>
      </c>
      <c r="G67" t="s">
        <v>3690</v>
      </c>
      <c r="H67">
        <v>14</v>
      </c>
      <c r="I67">
        <v>2134.06</v>
      </c>
      <c r="J67">
        <v>29876.84</v>
      </c>
    </row>
    <row r="68" spans="1:10">
      <c r="A68" s="4">
        <v>45041</v>
      </c>
      <c r="B68" t="s">
        <v>3691</v>
      </c>
      <c r="C68" t="s">
        <v>3669</v>
      </c>
      <c r="D68" t="s">
        <v>2551</v>
      </c>
      <c r="E68" t="s">
        <v>1538</v>
      </c>
      <c r="F68" t="s">
        <v>1517</v>
      </c>
      <c r="G68" t="s">
        <v>3693</v>
      </c>
      <c r="H68">
        <v>6</v>
      </c>
      <c r="I68">
        <v>1523.33</v>
      </c>
      <c r="J68">
        <v>9139.98</v>
      </c>
    </row>
    <row r="69" spans="1:10">
      <c r="A69" s="4">
        <v>45043</v>
      </c>
      <c r="B69" t="s">
        <v>3676</v>
      </c>
      <c r="C69" t="s">
        <v>3658</v>
      </c>
      <c r="D69" t="s">
        <v>2550</v>
      </c>
      <c r="E69" t="s">
        <v>1537</v>
      </c>
      <c r="F69" t="s">
        <v>3657</v>
      </c>
      <c r="G69" t="s">
        <v>3678</v>
      </c>
      <c r="H69">
        <v>13</v>
      </c>
      <c r="I69">
        <v>646.63</v>
      </c>
      <c r="J69">
        <v>8406.19</v>
      </c>
    </row>
    <row r="70" spans="1:10">
      <c r="A70" s="4">
        <v>45016</v>
      </c>
      <c r="B70" t="s">
        <v>3683</v>
      </c>
      <c r="C70" t="s">
        <v>3662</v>
      </c>
      <c r="D70" t="s">
        <v>2552</v>
      </c>
      <c r="E70" t="s">
        <v>1537</v>
      </c>
      <c r="F70" t="s">
        <v>1518</v>
      </c>
      <c r="G70" t="s">
        <v>3700</v>
      </c>
      <c r="H70">
        <v>4</v>
      </c>
      <c r="I70">
        <v>4965.34</v>
      </c>
      <c r="J70">
        <v>19861.36</v>
      </c>
    </row>
    <row r="71" spans="1:10">
      <c r="A71" s="4">
        <v>45103</v>
      </c>
      <c r="B71" t="s">
        <v>3688</v>
      </c>
      <c r="C71" t="s">
        <v>3665</v>
      </c>
      <c r="D71" t="s">
        <v>2549</v>
      </c>
      <c r="E71" t="s">
        <v>1535</v>
      </c>
      <c r="F71" t="s">
        <v>1518</v>
      </c>
      <c r="G71" t="s">
        <v>3680</v>
      </c>
      <c r="H71">
        <v>14</v>
      </c>
      <c r="I71">
        <v>2883.11</v>
      </c>
      <c r="J71">
        <v>40363.54</v>
      </c>
    </row>
    <row r="72" spans="1:10">
      <c r="A72" s="4">
        <v>45095</v>
      </c>
      <c r="B72" t="s">
        <v>3681</v>
      </c>
      <c r="C72" t="s">
        <v>3668</v>
      </c>
      <c r="D72" t="s">
        <v>2551</v>
      </c>
      <c r="E72" t="s">
        <v>1538</v>
      </c>
      <c r="F72" t="s">
        <v>3657</v>
      </c>
      <c r="G72" t="s">
        <v>3690</v>
      </c>
      <c r="H72">
        <v>9</v>
      </c>
      <c r="I72">
        <v>2819.87</v>
      </c>
      <c r="J72">
        <v>25378.83</v>
      </c>
    </row>
    <row r="73" spans="1:10">
      <c r="A73" s="4">
        <v>45247</v>
      </c>
      <c r="B73" t="s">
        <v>3679</v>
      </c>
      <c r="C73" t="s">
        <v>3654</v>
      </c>
      <c r="D73" t="s">
        <v>2549</v>
      </c>
      <c r="E73" t="s">
        <v>1535</v>
      </c>
      <c r="F73" t="s">
        <v>1516</v>
      </c>
      <c r="G73" t="s">
        <v>3677</v>
      </c>
      <c r="H73">
        <v>12</v>
      </c>
      <c r="I73">
        <v>3961.23</v>
      </c>
      <c r="J73">
        <v>47534.76</v>
      </c>
    </row>
    <row r="74" spans="1:10">
      <c r="A74" s="4">
        <v>44987</v>
      </c>
      <c r="B74" t="s">
        <v>3683</v>
      </c>
      <c r="C74" t="s">
        <v>3658</v>
      </c>
      <c r="D74" t="s">
        <v>2550</v>
      </c>
      <c r="E74" t="s">
        <v>1537</v>
      </c>
      <c r="F74" t="s">
        <v>1516</v>
      </c>
      <c r="G74" t="s">
        <v>3677</v>
      </c>
      <c r="H74">
        <v>15</v>
      </c>
      <c r="I74">
        <v>2194.7199999999998</v>
      </c>
      <c r="J74">
        <v>32920.800000000003</v>
      </c>
    </row>
    <row r="75" spans="1:10">
      <c r="A75" s="4">
        <v>45003</v>
      </c>
      <c r="B75" t="s">
        <v>3681</v>
      </c>
      <c r="C75" t="s">
        <v>3655</v>
      </c>
      <c r="D75" t="s">
        <v>2552</v>
      </c>
      <c r="E75" t="s">
        <v>1537</v>
      </c>
      <c r="F75" t="s">
        <v>1514</v>
      </c>
      <c r="G75" t="s">
        <v>3697</v>
      </c>
      <c r="H75">
        <v>5</v>
      </c>
      <c r="I75">
        <v>3058.74</v>
      </c>
      <c r="J75">
        <v>15293.7</v>
      </c>
    </row>
    <row r="76" spans="1:10">
      <c r="A76" s="4">
        <v>45270</v>
      </c>
      <c r="B76" t="s">
        <v>3684</v>
      </c>
      <c r="C76" t="s">
        <v>3654</v>
      </c>
      <c r="D76" t="s">
        <v>2549</v>
      </c>
      <c r="E76" t="s">
        <v>1535</v>
      </c>
      <c r="F76" t="s">
        <v>1516</v>
      </c>
      <c r="G76" t="s">
        <v>3677</v>
      </c>
      <c r="H76">
        <v>11</v>
      </c>
      <c r="I76">
        <v>827.59</v>
      </c>
      <c r="J76">
        <v>9103.49</v>
      </c>
    </row>
    <row r="77" spans="1:10">
      <c r="A77" s="4">
        <v>45229</v>
      </c>
      <c r="B77" t="s">
        <v>3688</v>
      </c>
      <c r="C77" t="s">
        <v>3658</v>
      </c>
      <c r="D77" t="s">
        <v>2550</v>
      </c>
      <c r="E77" t="s">
        <v>1537</v>
      </c>
      <c r="F77" t="s">
        <v>1514</v>
      </c>
      <c r="G77" t="s">
        <v>3698</v>
      </c>
      <c r="H77">
        <v>10</v>
      </c>
      <c r="I77">
        <v>2008.29</v>
      </c>
      <c r="J77">
        <v>20082.900000000001</v>
      </c>
    </row>
    <row r="78" spans="1:10">
      <c r="A78" s="4">
        <v>44981</v>
      </c>
      <c r="B78" t="s">
        <v>3684</v>
      </c>
      <c r="C78" t="s">
        <v>3666</v>
      </c>
      <c r="D78" t="s">
        <v>2548</v>
      </c>
      <c r="E78" t="s">
        <v>1535</v>
      </c>
      <c r="F78" t="s">
        <v>1516</v>
      </c>
      <c r="G78" t="s">
        <v>3686</v>
      </c>
      <c r="H78">
        <v>3</v>
      </c>
      <c r="I78">
        <v>4157.17</v>
      </c>
      <c r="J78">
        <v>12471.51</v>
      </c>
    </row>
    <row r="79" spans="1:10">
      <c r="A79" s="4">
        <v>44964</v>
      </c>
      <c r="B79" t="s">
        <v>3679</v>
      </c>
      <c r="C79" t="s">
        <v>3662</v>
      </c>
      <c r="D79" t="s">
        <v>2552</v>
      </c>
      <c r="E79" t="s">
        <v>1537</v>
      </c>
      <c r="F79" t="s">
        <v>1517</v>
      </c>
      <c r="G79" t="s">
        <v>3701</v>
      </c>
      <c r="H79">
        <v>19</v>
      </c>
      <c r="I79">
        <v>2880.28</v>
      </c>
      <c r="J79">
        <v>54725.32</v>
      </c>
    </row>
    <row r="80" spans="1:10">
      <c r="A80" s="4">
        <v>45163</v>
      </c>
      <c r="B80" t="s">
        <v>3691</v>
      </c>
      <c r="C80" t="s">
        <v>3663</v>
      </c>
      <c r="D80" t="s">
        <v>2548</v>
      </c>
      <c r="E80" t="s">
        <v>1535</v>
      </c>
      <c r="F80" t="s">
        <v>1514</v>
      </c>
      <c r="G80" t="s">
        <v>3685</v>
      </c>
      <c r="H80">
        <v>6</v>
      </c>
      <c r="I80">
        <v>1212.76</v>
      </c>
      <c r="J80">
        <v>7276.56</v>
      </c>
    </row>
    <row r="81" spans="1:10">
      <c r="A81" s="4">
        <v>45184</v>
      </c>
      <c r="B81" t="s">
        <v>3681</v>
      </c>
      <c r="C81" t="s">
        <v>3664</v>
      </c>
      <c r="D81" t="s">
        <v>2548</v>
      </c>
      <c r="E81" t="s">
        <v>1535</v>
      </c>
      <c r="F81" t="s">
        <v>1514</v>
      </c>
      <c r="G81" t="s">
        <v>3697</v>
      </c>
      <c r="H81">
        <v>11</v>
      </c>
      <c r="I81">
        <v>4463.4799999999996</v>
      </c>
      <c r="J81">
        <v>49098.28</v>
      </c>
    </row>
    <row r="82" spans="1:10">
      <c r="A82" s="4">
        <v>45088</v>
      </c>
      <c r="B82" t="s">
        <v>3688</v>
      </c>
      <c r="C82" t="s">
        <v>3655</v>
      </c>
      <c r="D82" t="s">
        <v>2552</v>
      </c>
      <c r="E82" t="s">
        <v>1537</v>
      </c>
      <c r="F82" t="s">
        <v>1518</v>
      </c>
      <c r="G82" t="s">
        <v>3680</v>
      </c>
      <c r="H82">
        <v>17</v>
      </c>
      <c r="I82">
        <v>3975.74</v>
      </c>
      <c r="J82">
        <v>67587.58</v>
      </c>
    </row>
    <row r="83" spans="1:10">
      <c r="A83" s="4">
        <v>45126</v>
      </c>
      <c r="B83" t="s">
        <v>3673</v>
      </c>
      <c r="C83" t="s">
        <v>3661</v>
      </c>
      <c r="D83" t="s">
        <v>2550</v>
      </c>
      <c r="E83" t="s">
        <v>1537</v>
      </c>
      <c r="F83" t="s">
        <v>1516</v>
      </c>
      <c r="G83" t="s">
        <v>3687</v>
      </c>
      <c r="H83">
        <v>15</v>
      </c>
      <c r="I83">
        <v>2158.2199999999998</v>
      </c>
      <c r="J83">
        <v>32373.3</v>
      </c>
    </row>
    <row r="84" spans="1:10">
      <c r="A84" s="4">
        <v>45063</v>
      </c>
      <c r="B84" t="s">
        <v>3676</v>
      </c>
      <c r="C84" t="s">
        <v>3666</v>
      </c>
      <c r="D84" t="s">
        <v>2548</v>
      </c>
      <c r="E84" t="s">
        <v>1535</v>
      </c>
      <c r="F84" t="s">
        <v>1516</v>
      </c>
      <c r="G84" t="s">
        <v>3686</v>
      </c>
      <c r="H84">
        <v>17</v>
      </c>
      <c r="I84">
        <v>1720.9</v>
      </c>
      <c r="J84">
        <v>29255.3</v>
      </c>
    </row>
    <row r="85" spans="1:10">
      <c r="A85" s="4">
        <v>45107</v>
      </c>
      <c r="B85" t="s">
        <v>3684</v>
      </c>
      <c r="C85" t="s">
        <v>3654</v>
      </c>
      <c r="D85" t="s">
        <v>2549</v>
      </c>
      <c r="E85" t="s">
        <v>1535</v>
      </c>
      <c r="F85" t="s">
        <v>1516</v>
      </c>
      <c r="G85" t="s">
        <v>3677</v>
      </c>
      <c r="H85">
        <v>11</v>
      </c>
      <c r="I85">
        <v>3562.92</v>
      </c>
      <c r="J85">
        <v>39192.120000000003</v>
      </c>
    </row>
    <row r="86" spans="1:10">
      <c r="A86" s="4">
        <v>45259</v>
      </c>
      <c r="B86" t="s">
        <v>3681</v>
      </c>
      <c r="C86" t="s">
        <v>3654</v>
      </c>
      <c r="D86" t="s">
        <v>2549</v>
      </c>
      <c r="E86" t="s">
        <v>1535</v>
      </c>
      <c r="F86" t="s">
        <v>1518</v>
      </c>
      <c r="G86" t="s">
        <v>3680</v>
      </c>
      <c r="H86">
        <v>17</v>
      </c>
      <c r="I86">
        <v>608.79</v>
      </c>
      <c r="J86">
        <v>10349.43</v>
      </c>
    </row>
    <row r="87" spans="1:10">
      <c r="A87" s="4">
        <v>45035</v>
      </c>
      <c r="B87" t="s">
        <v>3683</v>
      </c>
      <c r="C87" t="s">
        <v>3663</v>
      </c>
      <c r="D87" t="s">
        <v>2548</v>
      </c>
      <c r="E87" t="s">
        <v>1535</v>
      </c>
      <c r="F87" t="s">
        <v>3657</v>
      </c>
      <c r="G87" t="s">
        <v>3678</v>
      </c>
      <c r="H87">
        <v>20</v>
      </c>
      <c r="I87">
        <v>4856.17</v>
      </c>
      <c r="J87">
        <v>97123.4</v>
      </c>
    </row>
    <row r="88" spans="1:10">
      <c r="A88" s="4">
        <v>45043</v>
      </c>
      <c r="B88" t="s">
        <v>3691</v>
      </c>
      <c r="C88" t="s">
        <v>3669</v>
      </c>
      <c r="D88" t="s">
        <v>2551</v>
      </c>
      <c r="E88" t="s">
        <v>1538</v>
      </c>
      <c r="F88" t="s">
        <v>1518</v>
      </c>
      <c r="G88" t="s">
        <v>3674</v>
      </c>
      <c r="H88">
        <v>12</v>
      </c>
      <c r="I88">
        <v>4298</v>
      </c>
      <c r="J88">
        <v>51576</v>
      </c>
    </row>
    <row r="89" spans="1:10">
      <c r="A89" s="4">
        <v>45020</v>
      </c>
      <c r="B89" t="s">
        <v>3681</v>
      </c>
      <c r="C89" t="s">
        <v>3668</v>
      </c>
      <c r="D89" t="s">
        <v>2551</v>
      </c>
      <c r="E89" t="s">
        <v>1538</v>
      </c>
      <c r="F89" t="s">
        <v>1514</v>
      </c>
      <c r="G89" t="s">
        <v>3697</v>
      </c>
      <c r="H89">
        <v>7</v>
      </c>
      <c r="I89">
        <v>1160.3499999999999</v>
      </c>
      <c r="J89">
        <v>8122.45</v>
      </c>
    </row>
    <row r="90" spans="1:10">
      <c r="A90" s="4">
        <v>45145</v>
      </c>
      <c r="B90" t="s">
        <v>3684</v>
      </c>
      <c r="C90" t="s">
        <v>3669</v>
      </c>
      <c r="D90" t="s">
        <v>2551</v>
      </c>
      <c r="E90" t="s">
        <v>1538</v>
      </c>
      <c r="F90" t="s">
        <v>1516</v>
      </c>
      <c r="G90" t="s">
        <v>3686</v>
      </c>
      <c r="H90">
        <v>3</v>
      </c>
      <c r="I90">
        <v>2488.34</v>
      </c>
      <c r="J90">
        <v>7465.02</v>
      </c>
    </row>
    <row r="91" spans="1:10">
      <c r="A91" s="4">
        <v>45126</v>
      </c>
      <c r="B91" t="s">
        <v>3676</v>
      </c>
      <c r="C91" t="s">
        <v>3661</v>
      </c>
      <c r="D91" t="s">
        <v>2550</v>
      </c>
      <c r="E91" t="s">
        <v>1537</v>
      </c>
      <c r="F91" t="s">
        <v>1517</v>
      </c>
      <c r="G91" t="s">
        <v>3699</v>
      </c>
      <c r="H91">
        <v>8</v>
      </c>
      <c r="I91">
        <v>1990</v>
      </c>
      <c r="J91">
        <v>15920</v>
      </c>
    </row>
    <row r="92" spans="1:10">
      <c r="A92" s="4">
        <v>44998</v>
      </c>
      <c r="B92" t="s">
        <v>3683</v>
      </c>
      <c r="C92" t="s">
        <v>3664</v>
      </c>
      <c r="D92" t="s">
        <v>2548</v>
      </c>
      <c r="E92" t="s">
        <v>1535</v>
      </c>
      <c r="F92" t="s">
        <v>1514</v>
      </c>
      <c r="G92" t="s">
        <v>3697</v>
      </c>
      <c r="H92">
        <v>20</v>
      </c>
      <c r="I92">
        <v>2446.21</v>
      </c>
      <c r="J92">
        <v>48924.2</v>
      </c>
    </row>
    <row r="93" spans="1:10">
      <c r="A93" s="4">
        <v>45221</v>
      </c>
      <c r="B93" t="s">
        <v>3679</v>
      </c>
      <c r="C93" t="s">
        <v>3662</v>
      </c>
      <c r="D93" t="s">
        <v>2552</v>
      </c>
      <c r="E93" t="s">
        <v>1537</v>
      </c>
      <c r="F93" t="s">
        <v>1518</v>
      </c>
      <c r="G93" t="s">
        <v>3700</v>
      </c>
      <c r="H93">
        <v>11</v>
      </c>
      <c r="I93">
        <v>1841.84</v>
      </c>
      <c r="J93">
        <v>20260.240000000002</v>
      </c>
    </row>
    <row r="94" spans="1:10">
      <c r="A94" s="4">
        <v>45261</v>
      </c>
      <c r="B94" t="s">
        <v>3683</v>
      </c>
      <c r="C94" t="s">
        <v>3659</v>
      </c>
      <c r="D94" t="s">
        <v>2551</v>
      </c>
      <c r="E94" t="s">
        <v>1538</v>
      </c>
      <c r="F94" t="s">
        <v>1514</v>
      </c>
      <c r="G94" t="s">
        <v>3682</v>
      </c>
      <c r="H94">
        <v>5</v>
      </c>
      <c r="I94">
        <v>3289.83</v>
      </c>
      <c r="J94">
        <v>16449.150000000001</v>
      </c>
    </row>
    <row r="95" spans="1:10">
      <c r="A95" s="4">
        <v>45014</v>
      </c>
      <c r="B95" t="s">
        <v>3684</v>
      </c>
      <c r="C95" t="s">
        <v>3654</v>
      </c>
      <c r="D95" t="s">
        <v>2549</v>
      </c>
      <c r="E95" t="s">
        <v>1535</v>
      </c>
      <c r="F95" t="s">
        <v>3657</v>
      </c>
      <c r="G95" t="s">
        <v>3692</v>
      </c>
      <c r="H95">
        <v>6</v>
      </c>
      <c r="I95">
        <v>549.79999999999995</v>
      </c>
      <c r="J95">
        <v>3298.8</v>
      </c>
    </row>
    <row r="96" spans="1:10">
      <c r="A96" s="4">
        <v>44960</v>
      </c>
      <c r="B96" t="s">
        <v>3688</v>
      </c>
      <c r="C96" t="s">
        <v>3658</v>
      </c>
      <c r="D96" t="s">
        <v>2550</v>
      </c>
      <c r="E96" t="s">
        <v>1537</v>
      </c>
      <c r="F96" t="s">
        <v>1514</v>
      </c>
      <c r="G96" t="s">
        <v>3682</v>
      </c>
      <c r="H96">
        <v>20</v>
      </c>
      <c r="I96">
        <v>4397.46</v>
      </c>
      <c r="J96">
        <v>87949.2</v>
      </c>
    </row>
    <row r="97" spans="1:10">
      <c r="A97" s="4">
        <v>45057</v>
      </c>
      <c r="B97" t="s">
        <v>3684</v>
      </c>
      <c r="C97" t="s">
        <v>3667</v>
      </c>
      <c r="D97" t="s">
        <v>2552</v>
      </c>
      <c r="E97" t="s">
        <v>1537</v>
      </c>
      <c r="F97" t="s">
        <v>3657</v>
      </c>
      <c r="G97" t="s">
        <v>3678</v>
      </c>
      <c r="H97">
        <v>3</v>
      </c>
      <c r="I97">
        <v>3107.88</v>
      </c>
      <c r="J97">
        <v>9323.64</v>
      </c>
    </row>
    <row r="98" spans="1:10">
      <c r="A98" s="4">
        <v>45254</v>
      </c>
      <c r="B98" t="s">
        <v>3673</v>
      </c>
      <c r="C98" t="s">
        <v>3666</v>
      </c>
      <c r="D98" t="s">
        <v>2548</v>
      </c>
      <c r="E98" t="s">
        <v>1535</v>
      </c>
      <c r="F98" t="s">
        <v>1517</v>
      </c>
      <c r="G98" t="s">
        <v>3701</v>
      </c>
      <c r="H98">
        <v>11</v>
      </c>
      <c r="I98">
        <v>1451.86</v>
      </c>
      <c r="J98">
        <v>15970.46</v>
      </c>
    </row>
    <row r="99" spans="1:10">
      <c r="A99" s="4">
        <v>45110</v>
      </c>
      <c r="B99" t="s">
        <v>3684</v>
      </c>
      <c r="C99" t="s">
        <v>3661</v>
      </c>
      <c r="D99" t="s">
        <v>2550</v>
      </c>
      <c r="E99" t="s">
        <v>1537</v>
      </c>
      <c r="F99" t="s">
        <v>3657</v>
      </c>
      <c r="G99" t="s">
        <v>3694</v>
      </c>
      <c r="H99">
        <v>13</v>
      </c>
      <c r="I99">
        <v>4087.03</v>
      </c>
      <c r="J99">
        <v>53131.39</v>
      </c>
    </row>
    <row r="100" spans="1:10">
      <c r="A100" s="4">
        <v>45171</v>
      </c>
      <c r="B100" t="s">
        <v>3673</v>
      </c>
      <c r="C100" t="s">
        <v>3669</v>
      </c>
      <c r="D100" t="s">
        <v>2551</v>
      </c>
      <c r="E100" t="s">
        <v>1538</v>
      </c>
      <c r="F100" t="s">
        <v>1518</v>
      </c>
      <c r="G100" t="s">
        <v>3674</v>
      </c>
      <c r="H100">
        <v>12</v>
      </c>
      <c r="I100">
        <v>3040.08</v>
      </c>
      <c r="J100">
        <v>36480.959999999999</v>
      </c>
    </row>
    <row r="101" spans="1:10">
      <c r="A101" s="4">
        <v>45229</v>
      </c>
      <c r="B101" t="s">
        <v>3683</v>
      </c>
      <c r="C101" t="s">
        <v>3659</v>
      </c>
      <c r="D101" t="s">
        <v>2551</v>
      </c>
      <c r="E101" t="s">
        <v>1538</v>
      </c>
      <c r="F101" t="s">
        <v>3657</v>
      </c>
      <c r="G101" t="s">
        <v>3692</v>
      </c>
      <c r="H101">
        <v>19</v>
      </c>
      <c r="I101">
        <v>3968.42</v>
      </c>
      <c r="J101">
        <v>75399.98</v>
      </c>
    </row>
    <row r="102" spans="1:10">
      <c r="A102" s="4">
        <v>45122</v>
      </c>
      <c r="B102" t="s">
        <v>3691</v>
      </c>
      <c r="C102" t="s">
        <v>3655</v>
      </c>
      <c r="D102" t="s">
        <v>2552</v>
      </c>
      <c r="E102" t="s">
        <v>1537</v>
      </c>
      <c r="F102" t="s">
        <v>1514</v>
      </c>
      <c r="G102" t="s">
        <v>3685</v>
      </c>
      <c r="H102">
        <v>4</v>
      </c>
      <c r="I102">
        <v>894.64</v>
      </c>
      <c r="J102">
        <v>3578.56</v>
      </c>
    </row>
    <row r="103" spans="1:10">
      <c r="A103" s="4">
        <v>45233</v>
      </c>
      <c r="B103" t="s">
        <v>3684</v>
      </c>
      <c r="C103" t="s">
        <v>3655</v>
      </c>
      <c r="D103" t="s">
        <v>2552</v>
      </c>
      <c r="E103" t="s">
        <v>1537</v>
      </c>
      <c r="F103" t="s">
        <v>3657</v>
      </c>
      <c r="G103" t="s">
        <v>3694</v>
      </c>
      <c r="H103">
        <v>20</v>
      </c>
      <c r="I103">
        <v>1787.99</v>
      </c>
      <c r="J103">
        <v>35759.800000000003</v>
      </c>
    </row>
    <row r="104" spans="1:10">
      <c r="A104" s="4">
        <v>45090</v>
      </c>
      <c r="B104" t="s">
        <v>3673</v>
      </c>
      <c r="C104" t="s">
        <v>3654</v>
      </c>
      <c r="D104" t="s">
        <v>2549</v>
      </c>
      <c r="E104" t="s">
        <v>1535</v>
      </c>
      <c r="F104" t="s">
        <v>1517</v>
      </c>
      <c r="G104" t="s">
        <v>3693</v>
      </c>
      <c r="H104">
        <v>17</v>
      </c>
      <c r="I104">
        <v>2910.12</v>
      </c>
      <c r="J104">
        <v>49472.04</v>
      </c>
    </row>
    <row r="105" spans="1:10">
      <c r="A105" s="4">
        <v>44960</v>
      </c>
      <c r="B105" t="s">
        <v>3691</v>
      </c>
      <c r="C105" t="s">
        <v>3661</v>
      </c>
      <c r="D105" t="s">
        <v>2550</v>
      </c>
      <c r="E105" t="s">
        <v>1537</v>
      </c>
      <c r="F105" t="s">
        <v>3657</v>
      </c>
      <c r="G105" t="s">
        <v>3678</v>
      </c>
      <c r="H105">
        <v>16</v>
      </c>
      <c r="I105">
        <v>827.8</v>
      </c>
      <c r="J105">
        <v>13244.8</v>
      </c>
    </row>
    <row r="106" spans="1:10">
      <c r="A106" s="4">
        <v>45055</v>
      </c>
      <c r="B106" t="s">
        <v>3676</v>
      </c>
      <c r="C106" t="s">
        <v>3669</v>
      </c>
      <c r="D106" t="s">
        <v>2551</v>
      </c>
      <c r="E106" t="s">
        <v>1538</v>
      </c>
      <c r="F106" t="s">
        <v>1518</v>
      </c>
      <c r="G106" t="s">
        <v>3680</v>
      </c>
      <c r="H106">
        <v>18</v>
      </c>
      <c r="I106">
        <v>3093.44</v>
      </c>
      <c r="J106">
        <v>55681.919999999998</v>
      </c>
    </row>
    <row r="107" spans="1:10">
      <c r="A107" s="4">
        <v>44946</v>
      </c>
      <c r="B107" t="s">
        <v>3684</v>
      </c>
      <c r="C107" t="s">
        <v>3656</v>
      </c>
      <c r="D107" t="s">
        <v>2550</v>
      </c>
      <c r="E107" t="s">
        <v>1537</v>
      </c>
      <c r="F107" t="s">
        <v>1516</v>
      </c>
      <c r="G107" t="s">
        <v>3687</v>
      </c>
      <c r="H107">
        <v>10</v>
      </c>
      <c r="I107">
        <v>2469.04</v>
      </c>
      <c r="J107">
        <v>24690.400000000001</v>
      </c>
    </row>
    <row r="108" spans="1:10">
      <c r="A108" s="4">
        <v>45062</v>
      </c>
      <c r="B108" t="s">
        <v>3676</v>
      </c>
      <c r="C108" t="s">
        <v>3656</v>
      </c>
      <c r="D108" t="s">
        <v>2550</v>
      </c>
      <c r="E108" t="s">
        <v>1537</v>
      </c>
      <c r="F108" t="s">
        <v>1518</v>
      </c>
      <c r="G108" t="s">
        <v>3674</v>
      </c>
      <c r="H108">
        <v>12</v>
      </c>
      <c r="I108">
        <v>2127.2800000000002</v>
      </c>
      <c r="J108">
        <v>25527.360000000001</v>
      </c>
    </row>
    <row r="109" spans="1:10">
      <c r="A109" s="4">
        <v>44944</v>
      </c>
      <c r="B109" t="s">
        <v>3683</v>
      </c>
      <c r="C109" t="s">
        <v>3656</v>
      </c>
      <c r="D109" t="s">
        <v>2550</v>
      </c>
      <c r="E109" t="s">
        <v>1537</v>
      </c>
      <c r="F109" t="s">
        <v>1514</v>
      </c>
      <c r="G109" t="s">
        <v>3685</v>
      </c>
      <c r="H109">
        <v>1</v>
      </c>
      <c r="I109">
        <v>1811.76</v>
      </c>
      <c r="J109">
        <v>1811.76</v>
      </c>
    </row>
    <row r="110" spans="1:10">
      <c r="A110" s="4">
        <v>45075</v>
      </c>
      <c r="B110" t="s">
        <v>3689</v>
      </c>
      <c r="C110" t="s">
        <v>3662</v>
      </c>
      <c r="D110" t="s">
        <v>2552</v>
      </c>
      <c r="E110" t="s">
        <v>1537</v>
      </c>
      <c r="F110" t="s">
        <v>1517</v>
      </c>
      <c r="G110" t="s">
        <v>3693</v>
      </c>
      <c r="H110">
        <v>4</v>
      </c>
      <c r="I110">
        <v>4485.82</v>
      </c>
      <c r="J110">
        <v>17943.28</v>
      </c>
    </row>
    <row r="111" spans="1:10">
      <c r="A111" s="4">
        <v>45172</v>
      </c>
      <c r="B111" t="s">
        <v>3689</v>
      </c>
      <c r="C111" t="s">
        <v>3655</v>
      </c>
      <c r="D111" t="s">
        <v>2552</v>
      </c>
      <c r="E111" t="s">
        <v>1537</v>
      </c>
      <c r="F111" t="s">
        <v>1514</v>
      </c>
      <c r="G111" t="s">
        <v>3685</v>
      </c>
      <c r="H111">
        <v>8</v>
      </c>
      <c r="I111">
        <v>4649.3500000000004</v>
      </c>
      <c r="J111">
        <v>37194.800000000003</v>
      </c>
    </row>
    <row r="112" spans="1:10">
      <c r="A112" s="4">
        <v>45009</v>
      </c>
      <c r="B112" t="s">
        <v>3675</v>
      </c>
      <c r="C112" t="s">
        <v>3658</v>
      </c>
      <c r="D112" t="s">
        <v>2550</v>
      </c>
      <c r="E112" t="s">
        <v>1537</v>
      </c>
      <c r="F112" t="s">
        <v>1517</v>
      </c>
      <c r="G112" t="s">
        <v>3701</v>
      </c>
      <c r="H112">
        <v>3</v>
      </c>
      <c r="I112">
        <v>4027.17</v>
      </c>
      <c r="J112">
        <v>12081.51</v>
      </c>
    </row>
    <row r="113" spans="1:10">
      <c r="A113" s="4">
        <v>45244</v>
      </c>
      <c r="B113" t="s">
        <v>3689</v>
      </c>
      <c r="C113" t="s">
        <v>3659</v>
      </c>
      <c r="D113" t="s">
        <v>2551</v>
      </c>
      <c r="E113" t="s">
        <v>1538</v>
      </c>
      <c r="F113" t="s">
        <v>1514</v>
      </c>
      <c r="G113" t="s">
        <v>3697</v>
      </c>
      <c r="H113">
        <v>14</v>
      </c>
      <c r="I113">
        <v>4406.29</v>
      </c>
      <c r="J113">
        <v>61688.06</v>
      </c>
    </row>
    <row r="114" spans="1:10">
      <c r="A114" s="4">
        <v>45077</v>
      </c>
      <c r="B114" t="s">
        <v>3675</v>
      </c>
      <c r="C114" t="s">
        <v>3656</v>
      </c>
      <c r="D114" t="s">
        <v>2550</v>
      </c>
      <c r="E114" t="s">
        <v>1537</v>
      </c>
      <c r="F114" t="s">
        <v>3657</v>
      </c>
      <c r="G114" t="s">
        <v>3692</v>
      </c>
      <c r="H114">
        <v>20</v>
      </c>
      <c r="I114">
        <v>4072.4</v>
      </c>
      <c r="J114">
        <v>81448</v>
      </c>
    </row>
    <row r="115" spans="1:10">
      <c r="A115" s="4">
        <v>45098</v>
      </c>
      <c r="B115" t="s">
        <v>3681</v>
      </c>
      <c r="C115" t="s">
        <v>3659</v>
      </c>
      <c r="D115" t="s">
        <v>2551</v>
      </c>
      <c r="E115" t="s">
        <v>1538</v>
      </c>
      <c r="F115" t="s">
        <v>3657</v>
      </c>
      <c r="G115" t="s">
        <v>3694</v>
      </c>
      <c r="H115">
        <v>1</v>
      </c>
      <c r="I115">
        <v>4801.38</v>
      </c>
      <c r="J115">
        <v>4801.38</v>
      </c>
    </row>
    <row r="116" spans="1:10">
      <c r="A116" s="4">
        <v>44932</v>
      </c>
      <c r="B116" t="s">
        <v>3684</v>
      </c>
      <c r="C116" t="s">
        <v>3667</v>
      </c>
      <c r="D116" t="s">
        <v>2552</v>
      </c>
      <c r="E116" t="s">
        <v>1537</v>
      </c>
      <c r="F116" t="s">
        <v>1516</v>
      </c>
      <c r="G116" t="s">
        <v>3687</v>
      </c>
      <c r="H116">
        <v>17</v>
      </c>
      <c r="I116">
        <v>828.26</v>
      </c>
      <c r="J116">
        <v>14080.42</v>
      </c>
    </row>
    <row r="117" spans="1:10">
      <c r="A117" s="4">
        <v>44935</v>
      </c>
      <c r="B117" t="s">
        <v>3679</v>
      </c>
      <c r="C117" t="s">
        <v>3666</v>
      </c>
      <c r="D117" t="s">
        <v>2548</v>
      </c>
      <c r="E117" t="s">
        <v>1535</v>
      </c>
      <c r="F117" t="s">
        <v>3657</v>
      </c>
      <c r="G117" t="s">
        <v>3692</v>
      </c>
      <c r="H117">
        <v>13</v>
      </c>
      <c r="I117">
        <v>4331.5</v>
      </c>
      <c r="J117">
        <v>56309.5</v>
      </c>
    </row>
    <row r="118" spans="1:10">
      <c r="A118" s="4">
        <v>45172</v>
      </c>
      <c r="B118" t="s">
        <v>3681</v>
      </c>
      <c r="C118" t="s">
        <v>3665</v>
      </c>
      <c r="D118" t="s">
        <v>2549</v>
      </c>
      <c r="E118" t="s">
        <v>1535</v>
      </c>
      <c r="F118" t="s">
        <v>1516</v>
      </c>
      <c r="G118" t="s">
        <v>3687</v>
      </c>
      <c r="H118">
        <v>14</v>
      </c>
      <c r="I118">
        <v>3404.4</v>
      </c>
      <c r="J118">
        <v>47661.599999999999</v>
      </c>
    </row>
    <row r="119" spans="1:10">
      <c r="A119" s="4">
        <v>44956</v>
      </c>
      <c r="B119" t="s">
        <v>3689</v>
      </c>
      <c r="C119" t="s">
        <v>3660</v>
      </c>
      <c r="D119" t="s">
        <v>2549</v>
      </c>
      <c r="E119" t="s">
        <v>1535</v>
      </c>
      <c r="F119" t="s">
        <v>1517</v>
      </c>
      <c r="G119" t="s">
        <v>3701</v>
      </c>
      <c r="H119">
        <v>20</v>
      </c>
      <c r="I119">
        <v>3734.44</v>
      </c>
      <c r="J119">
        <v>74688.800000000003</v>
      </c>
    </row>
    <row r="120" spans="1:10">
      <c r="A120" s="4">
        <v>44983</v>
      </c>
      <c r="B120" t="s">
        <v>3691</v>
      </c>
      <c r="C120" t="s">
        <v>3660</v>
      </c>
      <c r="D120" t="s">
        <v>2549</v>
      </c>
      <c r="E120" t="s">
        <v>1535</v>
      </c>
      <c r="F120" t="s">
        <v>1517</v>
      </c>
      <c r="G120" t="s">
        <v>3693</v>
      </c>
      <c r="H120">
        <v>6</v>
      </c>
      <c r="I120">
        <v>112.76</v>
      </c>
      <c r="J120">
        <v>676.56</v>
      </c>
    </row>
    <row r="121" spans="1:10">
      <c r="A121" s="4">
        <v>45275</v>
      </c>
      <c r="B121" t="s">
        <v>3691</v>
      </c>
      <c r="C121" t="s">
        <v>3668</v>
      </c>
      <c r="D121" t="s">
        <v>2551</v>
      </c>
      <c r="E121" t="s">
        <v>1538</v>
      </c>
      <c r="F121" t="s">
        <v>1514</v>
      </c>
      <c r="G121" t="s">
        <v>3682</v>
      </c>
      <c r="H121">
        <v>6</v>
      </c>
      <c r="I121">
        <v>4751.7700000000004</v>
      </c>
      <c r="J121">
        <v>28510.62</v>
      </c>
    </row>
    <row r="122" spans="1:10">
      <c r="A122" s="4">
        <v>45115</v>
      </c>
      <c r="B122" t="s">
        <v>3676</v>
      </c>
      <c r="C122" t="s">
        <v>3666</v>
      </c>
      <c r="D122" t="s">
        <v>2548</v>
      </c>
      <c r="E122" t="s">
        <v>1535</v>
      </c>
      <c r="F122" t="s">
        <v>3657</v>
      </c>
      <c r="G122" t="s">
        <v>3692</v>
      </c>
      <c r="H122">
        <v>4</v>
      </c>
      <c r="I122">
        <v>3214.1</v>
      </c>
      <c r="J122">
        <v>12856.4</v>
      </c>
    </row>
    <row r="123" spans="1:10">
      <c r="A123" s="4">
        <v>45192</v>
      </c>
      <c r="B123" t="s">
        <v>3673</v>
      </c>
      <c r="C123" t="s">
        <v>3668</v>
      </c>
      <c r="D123" t="s">
        <v>2551</v>
      </c>
      <c r="E123" t="s">
        <v>1538</v>
      </c>
      <c r="F123" t="s">
        <v>1514</v>
      </c>
      <c r="G123" t="s">
        <v>3685</v>
      </c>
      <c r="H123">
        <v>20</v>
      </c>
      <c r="I123">
        <v>598.97</v>
      </c>
      <c r="J123">
        <v>11979.4</v>
      </c>
    </row>
    <row r="124" spans="1:10">
      <c r="A124" s="4">
        <v>45031</v>
      </c>
      <c r="B124" t="s">
        <v>3691</v>
      </c>
      <c r="C124" t="s">
        <v>3660</v>
      </c>
      <c r="D124" t="s">
        <v>2549</v>
      </c>
      <c r="E124" t="s">
        <v>1535</v>
      </c>
      <c r="F124" t="s">
        <v>1517</v>
      </c>
      <c r="G124" t="s">
        <v>3693</v>
      </c>
      <c r="H124">
        <v>15</v>
      </c>
      <c r="I124">
        <v>1513.67</v>
      </c>
      <c r="J124">
        <v>22705.05</v>
      </c>
    </row>
    <row r="125" spans="1:10">
      <c r="A125" s="4">
        <v>44999</v>
      </c>
      <c r="B125" t="s">
        <v>3684</v>
      </c>
      <c r="C125" t="s">
        <v>3664</v>
      </c>
      <c r="D125" t="s">
        <v>2548</v>
      </c>
      <c r="E125" t="s">
        <v>1535</v>
      </c>
      <c r="F125" t="s">
        <v>1516</v>
      </c>
      <c r="G125" t="s">
        <v>3686</v>
      </c>
      <c r="H125">
        <v>6</v>
      </c>
      <c r="I125">
        <v>194.62</v>
      </c>
      <c r="J125">
        <v>1167.72</v>
      </c>
    </row>
    <row r="126" spans="1:10">
      <c r="A126" s="4">
        <v>45261</v>
      </c>
      <c r="B126" t="s">
        <v>3688</v>
      </c>
      <c r="C126" t="s">
        <v>3664</v>
      </c>
      <c r="D126" t="s">
        <v>2548</v>
      </c>
      <c r="E126" t="s">
        <v>1535</v>
      </c>
      <c r="F126" t="s">
        <v>1516</v>
      </c>
      <c r="G126" t="s">
        <v>3686</v>
      </c>
      <c r="H126">
        <v>6</v>
      </c>
      <c r="I126">
        <v>4508.3</v>
      </c>
      <c r="J126">
        <v>27049.8</v>
      </c>
    </row>
    <row r="127" spans="1:10">
      <c r="A127" s="4">
        <v>45180</v>
      </c>
      <c r="B127" t="s">
        <v>3683</v>
      </c>
      <c r="C127" t="s">
        <v>3663</v>
      </c>
      <c r="D127" t="s">
        <v>2548</v>
      </c>
      <c r="E127" t="s">
        <v>1535</v>
      </c>
      <c r="F127" t="s">
        <v>1517</v>
      </c>
      <c r="G127" t="s">
        <v>3701</v>
      </c>
      <c r="H127">
        <v>20</v>
      </c>
      <c r="I127">
        <v>4055.72</v>
      </c>
      <c r="J127">
        <v>81114.399999999994</v>
      </c>
    </row>
    <row r="128" spans="1:10">
      <c r="A128" s="4">
        <v>45202</v>
      </c>
      <c r="B128" t="s">
        <v>3684</v>
      </c>
      <c r="C128" t="s">
        <v>3658</v>
      </c>
      <c r="D128" t="s">
        <v>2550</v>
      </c>
      <c r="E128" t="s">
        <v>1537</v>
      </c>
      <c r="F128" t="s">
        <v>1517</v>
      </c>
      <c r="G128" t="s">
        <v>3701</v>
      </c>
      <c r="H128">
        <v>8</v>
      </c>
      <c r="I128">
        <v>2986.89</v>
      </c>
      <c r="J128">
        <v>23895.119999999999</v>
      </c>
    </row>
    <row r="129" spans="1:10">
      <c r="A129" s="4">
        <v>45041</v>
      </c>
      <c r="B129" t="s">
        <v>3681</v>
      </c>
      <c r="C129" t="s">
        <v>3669</v>
      </c>
      <c r="D129" t="s">
        <v>2551</v>
      </c>
      <c r="E129" t="s">
        <v>1538</v>
      </c>
      <c r="F129" t="s">
        <v>1514</v>
      </c>
      <c r="G129" t="s">
        <v>3697</v>
      </c>
      <c r="H129">
        <v>7</v>
      </c>
      <c r="I129">
        <v>4933.0600000000004</v>
      </c>
      <c r="J129">
        <v>34531.42</v>
      </c>
    </row>
    <row r="130" spans="1:10">
      <c r="A130" s="4">
        <v>45194</v>
      </c>
      <c r="B130" t="s">
        <v>3689</v>
      </c>
      <c r="C130" t="s">
        <v>3667</v>
      </c>
      <c r="D130" t="s">
        <v>2552</v>
      </c>
      <c r="E130" t="s">
        <v>1537</v>
      </c>
      <c r="F130" t="s">
        <v>1518</v>
      </c>
      <c r="G130" t="s">
        <v>3674</v>
      </c>
      <c r="H130">
        <v>4</v>
      </c>
      <c r="I130">
        <v>4837.17</v>
      </c>
      <c r="J130">
        <v>19348.68</v>
      </c>
    </row>
    <row r="131" spans="1:10">
      <c r="A131" s="4">
        <v>45203</v>
      </c>
      <c r="B131" t="s">
        <v>3684</v>
      </c>
      <c r="C131" t="s">
        <v>3668</v>
      </c>
      <c r="D131" t="s">
        <v>2551</v>
      </c>
      <c r="E131" t="s">
        <v>1538</v>
      </c>
      <c r="F131" t="s">
        <v>1518</v>
      </c>
      <c r="G131" t="s">
        <v>3674</v>
      </c>
      <c r="H131">
        <v>1</v>
      </c>
      <c r="I131">
        <v>4813.2299999999996</v>
      </c>
      <c r="J131">
        <v>4813.2299999999996</v>
      </c>
    </row>
    <row r="132" spans="1:10">
      <c r="A132" s="4">
        <v>45012</v>
      </c>
      <c r="B132" t="s">
        <v>3684</v>
      </c>
      <c r="C132" t="s">
        <v>3655</v>
      </c>
      <c r="D132" t="s">
        <v>2552</v>
      </c>
      <c r="E132" t="s">
        <v>1537</v>
      </c>
      <c r="F132" t="s">
        <v>1516</v>
      </c>
      <c r="G132" t="s">
        <v>3695</v>
      </c>
      <c r="H132">
        <v>16</v>
      </c>
      <c r="I132">
        <v>3158.66</v>
      </c>
      <c r="J132">
        <v>50538.559999999998</v>
      </c>
    </row>
    <row r="133" spans="1:10">
      <c r="A133" s="4">
        <v>45175</v>
      </c>
      <c r="B133" t="s">
        <v>3675</v>
      </c>
      <c r="C133" t="s">
        <v>3660</v>
      </c>
      <c r="D133" t="s">
        <v>2549</v>
      </c>
      <c r="E133" t="s">
        <v>1535</v>
      </c>
      <c r="F133" t="s">
        <v>1514</v>
      </c>
      <c r="G133" t="s">
        <v>3685</v>
      </c>
      <c r="H133">
        <v>6</v>
      </c>
      <c r="I133">
        <v>2920.43</v>
      </c>
      <c r="J133">
        <v>17522.580000000002</v>
      </c>
    </row>
    <row r="134" spans="1:10">
      <c r="A134" s="4">
        <v>45267</v>
      </c>
      <c r="B134" t="s">
        <v>3675</v>
      </c>
      <c r="C134" t="s">
        <v>3660</v>
      </c>
      <c r="D134" t="s">
        <v>2549</v>
      </c>
      <c r="E134" t="s">
        <v>1535</v>
      </c>
      <c r="F134" t="s">
        <v>1516</v>
      </c>
      <c r="G134" t="s">
        <v>3686</v>
      </c>
      <c r="H134">
        <v>12</v>
      </c>
      <c r="I134">
        <v>2170.02</v>
      </c>
      <c r="J134">
        <v>26040.240000000002</v>
      </c>
    </row>
    <row r="135" spans="1:10">
      <c r="A135" s="4">
        <v>45060</v>
      </c>
      <c r="B135" t="s">
        <v>3681</v>
      </c>
      <c r="C135" t="s">
        <v>3660</v>
      </c>
      <c r="D135" t="s">
        <v>2549</v>
      </c>
      <c r="E135" t="s">
        <v>1535</v>
      </c>
      <c r="F135" t="s">
        <v>1514</v>
      </c>
      <c r="G135" t="s">
        <v>3682</v>
      </c>
      <c r="H135">
        <v>2</v>
      </c>
      <c r="I135">
        <v>4542.6099999999997</v>
      </c>
      <c r="J135">
        <v>9085.2199999999993</v>
      </c>
    </row>
    <row r="136" spans="1:10">
      <c r="A136" s="4">
        <v>45283</v>
      </c>
      <c r="B136" t="s">
        <v>3676</v>
      </c>
      <c r="C136" t="s">
        <v>3665</v>
      </c>
      <c r="D136" t="s">
        <v>2549</v>
      </c>
      <c r="E136" t="s">
        <v>1535</v>
      </c>
      <c r="F136" t="s">
        <v>1514</v>
      </c>
      <c r="G136" t="s">
        <v>3682</v>
      </c>
      <c r="H136">
        <v>1</v>
      </c>
      <c r="I136">
        <v>3091.48</v>
      </c>
      <c r="J136">
        <v>3091.48</v>
      </c>
    </row>
    <row r="137" spans="1:10">
      <c r="A137" s="4">
        <v>44930</v>
      </c>
      <c r="B137" t="s">
        <v>3684</v>
      </c>
      <c r="C137" t="s">
        <v>3666</v>
      </c>
      <c r="D137" t="s">
        <v>2548</v>
      </c>
      <c r="E137" t="s">
        <v>1535</v>
      </c>
      <c r="F137" t="s">
        <v>1517</v>
      </c>
      <c r="G137" t="s">
        <v>3672</v>
      </c>
      <c r="H137">
        <v>3</v>
      </c>
      <c r="I137">
        <v>2205.6</v>
      </c>
      <c r="J137">
        <v>6616.8</v>
      </c>
    </row>
    <row r="138" spans="1:10">
      <c r="A138" s="4">
        <v>45129</v>
      </c>
      <c r="B138" t="s">
        <v>3676</v>
      </c>
      <c r="C138" t="s">
        <v>3660</v>
      </c>
      <c r="D138" t="s">
        <v>2549</v>
      </c>
      <c r="E138" t="s">
        <v>1535</v>
      </c>
      <c r="F138" t="s">
        <v>1514</v>
      </c>
      <c r="G138" t="s">
        <v>3697</v>
      </c>
      <c r="H138">
        <v>10</v>
      </c>
      <c r="I138">
        <v>4282.18</v>
      </c>
      <c r="J138">
        <v>42821.8</v>
      </c>
    </row>
    <row r="139" spans="1:10">
      <c r="A139" s="4">
        <v>45248</v>
      </c>
      <c r="B139" t="s">
        <v>3681</v>
      </c>
      <c r="C139" t="s">
        <v>3667</v>
      </c>
      <c r="D139" t="s">
        <v>2552</v>
      </c>
      <c r="E139" t="s">
        <v>1537</v>
      </c>
      <c r="F139" t="s">
        <v>1518</v>
      </c>
      <c r="G139" t="s">
        <v>3674</v>
      </c>
      <c r="H139">
        <v>5</v>
      </c>
      <c r="I139">
        <v>4252.84</v>
      </c>
      <c r="J139">
        <v>21264.2</v>
      </c>
    </row>
    <row r="140" spans="1:10">
      <c r="A140" s="4">
        <v>44934</v>
      </c>
      <c r="B140" t="s">
        <v>3675</v>
      </c>
      <c r="C140" t="s">
        <v>3659</v>
      </c>
      <c r="D140" t="s">
        <v>2551</v>
      </c>
      <c r="E140" t="s">
        <v>1538</v>
      </c>
      <c r="F140" t="s">
        <v>1517</v>
      </c>
      <c r="G140" t="s">
        <v>3701</v>
      </c>
      <c r="H140">
        <v>3</v>
      </c>
      <c r="I140">
        <v>916.33</v>
      </c>
      <c r="J140">
        <v>2748.99</v>
      </c>
    </row>
    <row r="141" spans="1:10">
      <c r="A141" s="4">
        <v>45029</v>
      </c>
      <c r="B141" t="s">
        <v>3675</v>
      </c>
      <c r="C141" t="s">
        <v>3663</v>
      </c>
      <c r="D141" t="s">
        <v>2548</v>
      </c>
      <c r="E141" t="s">
        <v>1535</v>
      </c>
      <c r="F141" t="s">
        <v>1517</v>
      </c>
      <c r="G141" t="s">
        <v>3701</v>
      </c>
      <c r="H141">
        <v>3</v>
      </c>
      <c r="I141">
        <v>1270.1500000000001</v>
      </c>
      <c r="J141">
        <v>3810.45</v>
      </c>
    </row>
    <row r="142" spans="1:10">
      <c r="A142" s="4">
        <v>44968</v>
      </c>
      <c r="B142" t="s">
        <v>3676</v>
      </c>
      <c r="C142" t="s">
        <v>3661</v>
      </c>
      <c r="D142" t="s">
        <v>2550</v>
      </c>
      <c r="E142" t="s">
        <v>1537</v>
      </c>
      <c r="F142" t="s">
        <v>1517</v>
      </c>
      <c r="G142" t="s">
        <v>3693</v>
      </c>
      <c r="H142">
        <v>6</v>
      </c>
      <c r="I142">
        <v>1750.35</v>
      </c>
      <c r="J142">
        <v>10502.1</v>
      </c>
    </row>
    <row r="143" spans="1:10">
      <c r="A143" s="4">
        <v>45230</v>
      </c>
      <c r="B143" t="s">
        <v>3673</v>
      </c>
      <c r="C143" t="s">
        <v>3661</v>
      </c>
      <c r="D143" t="s">
        <v>2550</v>
      </c>
      <c r="E143" t="s">
        <v>1537</v>
      </c>
      <c r="F143" t="s">
        <v>3657</v>
      </c>
      <c r="G143" t="s">
        <v>3678</v>
      </c>
      <c r="H143">
        <v>6</v>
      </c>
      <c r="I143">
        <v>1105.03</v>
      </c>
      <c r="J143">
        <v>6630.18</v>
      </c>
    </row>
    <row r="144" spans="1:10">
      <c r="A144" s="4">
        <v>45011</v>
      </c>
      <c r="B144" t="s">
        <v>3684</v>
      </c>
      <c r="C144" t="s">
        <v>3661</v>
      </c>
      <c r="D144" t="s">
        <v>2550</v>
      </c>
      <c r="E144" t="s">
        <v>1537</v>
      </c>
      <c r="F144" t="s">
        <v>1517</v>
      </c>
      <c r="G144" t="s">
        <v>3672</v>
      </c>
      <c r="H144">
        <v>17</v>
      </c>
      <c r="I144">
        <v>1801.69</v>
      </c>
      <c r="J144">
        <v>30628.73</v>
      </c>
    </row>
    <row r="145" spans="1:10">
      <c r="A145" s="4">
        <v>45116</v>
      </c>
      <c r="B145" t="s">
        <v>3688</v>
      </c>
      <c r="C145" t="s">
        <v>3662</v>
      </c>
      <c r="D145" t="s">
        <v>2552</v>
      </c>
      <c r="E145" t="s">
        <v>1537</v>
      </c>
      <c r="F145" t="s">
        <v>1514</v>
      </c>
      <c r="G145" t="s">
        <v>3682</v>
      </c>
      <c r="H145">
        <v>19</v>
      </c>
      <c r="I145">
        <v>717.29</v>
      </c>
      <c r="J145">
        <v>13628.51</v>
      </c>
    </row>
    <row r="146" spans="1:10">
      <c r="A146" s="4">
        <v>45221</v>
      </c>
      <c r="B146" t="s">
        <v>3676</v>
      </c>
      <c r="C146" t="s">
        <v>3664</v>
      </c>
      <c r="D146" t="s">
        <v>2548</v>
      </c>
      <c r="E146" t="s">
        <v>1535</v>
      </c>
      <c r="F146" t="s">
        <v>1518</v>
      </c>
      <c r="G146" t="s">
        <v>3696</v>
      </c>
      <c r="H146">
        <v>2</v>
      </c>
      <c r="I146">
        <v>4547.16</v>
      </c>
      <c r="J146">
        <v>9094.32</v>
      </c>
    </row>
    <row r="147" spans="1:10">
      <c r="A147" s="4">
        <v>45234</v>
      </c>
      <c r="B147" t="s">
        <v>3684</v>
      </c>
      <c r="C147" t="s">
        <v>3659</v>
      </c>
      <c r="D147" t="s">
        <v>2551</v>
      </c>
      <c r="E147" t="s">
        <v>1538</v>
      </c>
      <c r="F147" t="s">
        <v>1516</v>
      </c>
      <c r="G147" t="s">
        <v>3677</v>
      </c>
      <c r="H147">
        <v>2</v>
      </c>
      <c r="I147">
        <v>4818.49</v>
      </c>
      <c r="J147">
        <v>9636.98</v>
      </c>
    </row>
    <row r="148" spans="1:10">
      <c r="A148" s="4">
        <v>45240</v>
      </c>
      <c r="B148" t="s">
        <v>3679</v>
      </c>
      <c r="C148" t="s">
        <v>3656</v>
      </c>
      <c r="D148" t="s">
        <v>2550</v>
      </c>
      <c r="E148" t="s">
        <v>1537</v>
      </c>
      <c r="F148" t="s">
        <v>1518</v>
      </c>
      <c r="G148" t="s">
        <v>3674</v>
      </c>
      <c r="H148">
        <v>14</v>
      </c>
      <c r="I148">
        <v>1410.91</v>
      </c>
      <c r="J148">
        <v>19752.740000000002</v>
      </c>
    </row>
    <row r="149" spans="1:10">
      <c r="A149" s="4">
        <v>45005</v>
      </c>
      <c r="B149" t="s">
        <v>3691</v>
      </c>
      <c r="C149" t="s">
        <v>3667</v>
      </c>
      <c r="D149" t="s">
        <v>2552</v>
      </c>
      <c r="E149" t="s">
        <v>1537</v>
      </c>
      <c r="F149" t="s">
        <v>1516</v>
      </c>
      <c r="G149" t="s">
        <v>3677</v>
      </c>
      <c r="H149">
        <v>20</v>
      </c>
      <c r="I149">
        <v>239.35</v>
      </c>
      <c r="J149">
        <v>4787</v>
      </c>
    </row>
    <row r="150" spans="1:10">
      <c r="A150" s="4">
        <v>45079</v>
      </c>
      <c r="B150" t="s">
        <v>3681</v>
      </c>
      <c r="C150" t="s">
        <v>3664</v>
      </c>
      <c r="D150" t="s">
        <v>2548</v>
      </c>
      <c r="E150" t="s">
        <v>1535</v>
      </c>
      <c r="F150" t="s">
        <v>1518</v>
      </c>
      <c r="G150" t="s">
        <v>3696</v>
      </c>
      <c r="H150">
        <v>16</v>
      </c>
      <c r="I150">
        <v>4096.74</v>
      </c>
      <c r="J150">
        <v>65547.839999999997</v>
      </c>
    </row>
    <row r="151" spans="1:10">
      <c r="A151" s="4">
        <v>44945</v>
      </c>
      <c r="B151" t="s">
        <v>3681</v>
      </c>
      <c r="C151" t="s">
        <v>3656</v>
      </c>
      <c r="D151" t="s">
        <v>2550</v>
      </c>
      <c r="E151" t="s">
        <v>1537</v>
      </c>
      <c r="F151" t="s">
        <v>1518</v>
      </c>
      <c r="G151" t="s">
        <v>3680</v>
      </c>
      <c r="H151">
        <v>14</v>
      </c>
      <c r="I151">
        <v>3507.25</v>
      </c>
      <c r="J151">
        <v>49101.5</v>
      </c>
    </row>
    <row r="152" spans="1:10">
      <c r="A152" s="4">
        <v>44971</v>
      </c>
      <c r="B152" t="s">
        <v>3679</v>
      </c>
      <c r="C152" t="s">
        <v>3665</v>
      </c>
      <c r="D152" t="s">
        <v>2549</v>
      </c>
      <c r="E152" t="s">
        <v>1535</v>
      </c>
      <c r="F152" t="s">
        <v>1518</v>
      </c>
      <c r="G152" t="s">
        <v>3696</v>
      </c>
      <c r="H152">
        <v>16</v>
      </c>
      <c r="I152">
        <v>4507.37</v>
      </c>
      <c r="J152">
        <v>72117.919999999998</v>
      </c>
    </row>
    <row r="153" spans="1:10">
      <c r="A153" s="4">
        <v>45072</v>
      </c>
      <c r="B153" t="s">
        <v>3681</v>
      </c>
      <c r="C153" t="s">
        <v>3659</v>
      </c>
      <c r="D153" t="s">
        <v>2551</v>
      </c>
      <c r="E153" t="s">
        <v>1538</v>
      </c>
      <c r="F153" t="s">
        <v>1517</v>
      </c>
      <c r="G153" t="s">
        <v>3693</v>
      </c>
      <c r="H153">
        <v>10</v>
      </c>
      <c r="I153">
        <v>239.55</v>
      </c>
      <c r="J153">
        <v>2395.5</v>
      </c>
    </row>
    <row r="154" spans="1:10">
      <c r="A154" s="4">
        <v>45095</v>
      </c>
      <c r="B154" t="s">
        <v>3673</v>
      </c>
      <c r="C154" t="s">
        <v>3660</v>
      </c>
      <c r="D154" t="s">
        <v>2549</v>
      </c>
      <c r="E154" t="s">
        <v>1535</v>
      </c>
      <c r="F154" t="s">
        <v>1518</v>
      </c>
      <c r="G154" t="s">
        <v>3680</v>
      </c>
      <c r="H154">
        <v>17</v>
      </c>
      <c r="I154">
        <v>679.78</v>
      </c>
      <c r="J154">
        <v>11556.26</v>
      </c>
    </row>
    <row r="155" spans="1:10">
      <c r="A155" s="4">
        <v>45255</v>
      </c>
      <c r="B155" t="s">
        <v>3681</v>
      </c>
      <c r="C155" t="s">
        <v>3655</v>
      </c>
      <c r="D155" t="s">
        <v>2552</v>
      </c>
      <c r="E155" t="s">
        <v>1537</v>
      </c>
      <c r="F155" t="s">
        <v>1517</v>
      </c>
      <c r="G155" t="s">
        <v>3701</v>
      </c>
      <c r="H155">
        <v>18</v>
      </c>
      <c r="I155">
        <v>2658.57</v>
      </c>
      <c r="J155">
        <v>47854.26</v>
      </c>
    </row>
    <row r="156" spans="1:10">
      <c r="A156" s="4">
        <v>45062</v>
      </c>
      <c r="B156" t="s">
        <v>3688</v>
      </c>
      <c r="C156" t="s">
        <v>3661</v>
      </c>
      <c r="D156" t="s">
        <v>2550</v>
      </c>
      <c r="E156" t="s">
        <v>1537</v>
      </c>
      <c r="F156" t="s">
        <v>1517</v>
      </c>
      <c r="G156" t="s">
        <v>3672</v>
      </c>
      <c r="H156">
        <v>18</v>
      </c>
      <c r="I156">
        <v>4937.99</v>
      </c>
      <c r="J156">
        <v>88883.82</v>
      </c>
    </row>
    <row r="157" spans="1:10">
      <c r="A157" s="4">
        <v>45244</v>
      </c>
      <c r="B157" t="s">
        <v>3688</v>
      </c>
      <c r="C157" t="s">
        <v>3666</v>
      </c>
      <c r="D157" t="s">
        <v>2548</v>
      </c>
      <c r="E157" t="s">
        <v>1535</v>
      </c>
      <c r="F157" t="s">
        <v>1517</v>
      </c>
      <c r="G157" t="s">
        <v>3699</v>
      </c>
      <c r="H157">
        <v>17</v>
      </c>
      <c r="I157">
        <v>3421.31</v>
      </c>
      <c r="J157">
        <v>58162.27</v>
      </c>
    </row>
    <row r="158" spans="1:10">
      <c r="A158" s="4">
        <v>45248</v>
      </c>
      <c r="B158" t="s">
        <v>3691</v>
      </c>
      <c r="C158" t="s">
        <v>3668</v>
      </c>
      <c r="D158" t="s">
        <v>2551</v>
      </c>
      <c r="E158" t="s">
        <v>1538</v>
      </c>
      <c r="F158" t="s">
        <v>1514</v>
      </c>
      <c r="G158" t="s">
        <v>3682</v>
      </c>
      <c r="H158">
        <v>4</v>
      </c>
      <c r="I158">
        <v>1555.9</v>
      </c>
      <c r="J158">
        <v>6223.6</v>
      </c>
    </row>
    <row r="159" spans="1:10">
      <c r="A159" s="4">
        <v>45076</v>
      </c>
      <c r="B159" t="s">
        <v>3683</v>
      </c>
      <c r="C159" t="s">
        <v>3665</v>
      </c>
      <c r="D159" t="s">
        <v>2549</v>
      </c>
      <c r="E159" t="s">
        <v>1535</v>
      </c>
      <c r="F159" t="s">
        <v>1514</v>
      </c>
      <c r="G159" t="s">
        <v>3682</v>
      </c>
      <c r="H159">
        <v>12</v>
      </c>
      <c r="I159">
        <v>932.42</v>
      </c>
      <c r="J159">
        <v>11189.04</v>
      </c>
    </row>
    <row r="160" spans="1:10">
      <c r="A160" s="4">
        <v>45098</v>
      </c>
      <c r="B160" t="s">
        <v>3681</v>
      </c>
      <c r="C160" t="s">
        <v>3655</v>
      </c>
      <c r="D160" t="s">
        <v>2552</v>
      </c>
      <c r="E160" t="s">
        <v>1537</v>
      </c>
      <c r="F160" t="s">
        <v>1517</v>
      </c>
      <c r="G160" t="s">
        <v>3701</v>
      </c>
      <c r="H160">
        <v>20</v>
      </c>
      <c r="I160">
        <v>459.48</v>
      </c>
      <c r="J160">
        <v>9189.6</v>
      </c>
    </row>
    <row r="161" spans="1:10">
      <c r="A161" s="4">
        <v>45014</v>
      </c>
      <c r="B161" t="s">
        <v>3675</v>
      </c>
      <c r="C161" t="s">
        <v>3667</v>
      </c>
      <c r="D161" t="s">
        <v>2552</v>
      </c>
      <c r="E161" t="s">
        <v>1537</v>
      </c>
      <c r="F161" t="s">
        <v>1514</v>
      </c>
      <c r="G161" t="s">
        <v>3697</v>
      </c>
      <c r="H161">
        <v>5</v>
      </c>
      <c r="I161">
        <v>568.87</v>
      </c>
      <c r="J161">
        <v>2844.35</v>
      </c>
    </row>
    <row r="162" spans="1:10">
      <c r="A162" s="4">
        <v>45063</v>
      </c>
      <c r="B162" t="s">
        <v>3676</v>
      </c>
      <c r="C162" t="s">
        <v>3662</v>
      </c>
      <c r="D162" t="s">
        <v>2552</v>
      </c>
      <c r="E162" t="s">
        <v>1537</v>
      </c>
      <c r="F162" t="s">
        <v>1516</v>
      </c>
      <c r="G162" t="s">
        <v>3695</v>
      </c>
      <c r="H162">
        <v>10</v>
      </c>
      <c r="I162">
        <v>1468.96</v>
      </c>
      <c r="J162">
        <v>14689.6</v>
      </c>
    </row>
    <row r="163" spans="1:10">
      <c r="A163" s="4">
        <v>45129</v>
      </c>
      <c r="B163" t="s">
        <v>3691</v>
      </c>
      <c r="C163" t="s">
        <v>3668</v>
      </c>
      <c r="D163" t="s">
        <v>2551</v>
      </c>
      <c r="E163" t="s">
        <v>1538</v>
      </c>
      <c r="F163" t="s">
        <v>1517</v>
      </c>
      <c r="G163" t="s">
        <v>3701</v>
      </c>
      <c r="H163">
        <v>6</v>
      </c>
      <c r="I163">
        <v>3080.25</v>
      </c>
      <c r="J163">
        <v>18481.5</v>
      </c>
    </row>
    <row r="164" spans="1:10">
      <c r="A164" s="4">
        <v>45227</v>
      </c>
      <c r="B164" t="s">
        <v>3691</v>
      </c>
      <c r="C164" t="s">
        <v>3667</v>
      </c>
      <c r="D164" t="s">
        <v>2552</v>
      </c>
      <c r="E164" t="s">
        <v>1537</v>
      </c>
      <c r="F164" t="s">
        <v>1516</v>
      </c>
      <c r="G164" t="s">
        <v>3686</v>
      </c>
      <c r="H164">
        <v>11</v>
      </c>
      <c r="I164">
        <v>1817.43</v>
      </c>
      <c r="J164">
        <v>19991.73</v>
      </c>
    </row>
    <row r="165" spans="1:10">
      <c r="A165" s="4">
        <v>45000</v>
      </c>
      <c r="B165" t="s">
        <v>3673</v>
      </c>
      <c r="C165" t="s">
        <v>3659</v>
      </c>
      <c r="D165" t="s">
        <v>2551</v>
      </c>
      <c r="E165" t="s">
        <v>1538</v>
      </c>
      <c r="F165" t="s">
        <v>1518</v>
      </c>
      <c r="G165" t="s">
        <v>3696</v>
      </c>
      <c r="H165">
        <v>19</v>
      </c>
      <c r="I165">
        <v>3800.55</v>
      </c>
      <c r="J165">
        <v>72210.45</v>
      </c>
    </row>
    <row r="166" spans="1:10">
      <c r="A166" s="4">
        <v>45121</v>
      </c>
      <c r="B166" t="s">
        <v>3683</v>
      </c>
      <c r="C166" t="s">
        <v>3664</v>
      </c>
      <c r="D166" t="s">
        <v>2548</v>
      </c>
      <c r="E166" t="s">
        <v>1535</v>
      </c>
      <c r="F166" t="s">
        <v>1514</v>
      </c>
      <c r="G166" t="s">
        <v>3682</v>
      </c>
      <c r="H166">
        <v>17</v>
      </c>
      <c r="I166">
        <v>2809.13</v>
      </c>
      <c r="J166">
        <v>47755.21</v>
      </c>
    </row>
    <row r="167" spans="1:10">
      <c r="A167" s="4">
        <v>45083</v>
      </c>
      <c r="B167" t="s">
        <v>3676</v>
      </c>
      <c r="C167" t="s">
        <v>3655</v>
      </c>
      <c r="D167" t="s">
        <v>2552</v>
      </c>
      <c r="E167" t="s">
        <v>1537</v>
      </c>
      <c r="F167" t="s">
        <v>1518</v>
      </c>
      <c r="G167" t="s">
        <v>3674</v>
      </c>
      <c r="H167">
        <v>9</v>
      </c>
      <c r="I167">
        <v>4712.9799999999996</v>
      </c>
      <c r="J167">
        <v>42416.82</v>
      </c>
    </row>
    <row r="168" spans="1:10">
      <c r="A168" s="4">
        <v>45262</v>
      </c>
      <c r="B168" t="s">
        <v>3676</v>
      </c>
      <c r="C168" t="s">
        <v>3664</v>
      </c>
      <c r="D168" t="s">
        <v>2548</v>
      </c>
      <c r="E168" t="s">
        <v>1535</v>
      </c>
      <c r="F168" t="s">
        <v>1514</v>
      </c>
      <c r="G168" t="s">
        <v>3698</v>
      </c>
      <c r="H168">
        <v>1</v>
      </c>
      <c r="I168">
        <v>4541.7700000000004</v>
      </c>
      <c r="J168">
        <v>4541.7700000000004</v>
      </c>
    </row>
    <row r="169" spans="1:10">
      <c r="A169" s="4">
        <v>44988</v>
      </c>
      <c r="B169" t="s">
        <v>3684</v>
      </c>
      <c r="C169" t="s">
        <v>3669</v>
      </c>
      <c r="D169" t="s">
        <v>2551</v>
      </c>
      <c r="E169" t="s">
        <v>1538</v>
      </c>
      <c r="F169" t="s">
        <v>1514</v>
      </c>
      <c r="G169" t="s">
        <v>3685</v>
      </c>
      <c r="H169">
        <v>9</v>
      </c>
      <c r="I169">
        <v>3122.72</v>
      </c>
      <c r="J169">
        <v>28104.48</v>
      </c>
    </row>
    <row r="170" spans="1:10">
      <c r="A170" s="4">
        <v>45005</v>
      </c>
      <c r="B170" t="s">
        <v>3683</v>
      </c>
      <c r="C170" t="s">
        <v>3654</v>
      </c>
      <c r="D170" t="s">
        <v>2549</v>
      </c>
      <c r="E170" t="s">
        <v>1535</v>
      </c>
      <c r="F170" t="s">
        <v>1518</v>
      </c>
      <c r="G170" t="s">
        <v>3696</v>
      </c>
      <c r="H170">
        <v>9</v>
      </c>
      <c r="I170">
        <v>4198.92</v>
      </c>
      <c r="J170">
        <v>37790.28</v>
      </c>
    </row>
    <row r="171" spans="1:10">
      <c r="A171" s="4">
        <v>44989</v>
      </c>
      <c r="B171" t="s">
        <v>3681</v>
      </c>
      <c r="C171" t="s">
        <v>3661</v>
      </c>
      <c r="D171" t="s">
        <v>2550</v>
      </c>
      <c r="E171" t="s">
        <v>1537</v>
      </c>
      <c r="F171" t="s">
        <v>1517</v>
      </c>
      <c r="G171" t="s">
        <v>3699</v>
      </c>
      <c r="H171">
        <v>17</v>
      </c>
      <c r="I171">
        <v>4415.8500000000004</v>
      </c>
      <c r="J171">
        <v>75069.45</v>
      </c>
    </row>
    <row r="172" spans="1:10">
      <c r="A172" s="4">
        <v>45224</v>
      </c>
      <c r="B172" t="s">
        <v>3689</v>
      </c>
      <c r="C172" t="s">
        <v>3667</v>
      </c>
      <c r="D172" t="s">
        <v>2552</v>
      </c>
      <c r="E172" t="s">
        <v>1537</v>
      </c>
      <c r="F172" t="s">
        <v>3657</v>
      </c>
      <c r="G172" t="s">
        <v>3692</v>
      </c>
      <c r="H172">
        <v>16</v>
      </c>
      <c r="I172">
        <v>4684.8599999999997</v>
      </c>
      <c r="J172">
        <v>74957.759999999995</v>
      </c>
    </row>
    <row r="173" spans="1:10">
      <c r="A173" s="4">
        <v>45283</v>
      </c>
      <c r="B173" t="s">
        <v>3676</v>
      </c>
      <c r="C173" t="s">
        <v>3667</v>
      </c>
      <c r="D173" t="s">
        <v>2552</v>
      </c>
      <c r="E173" t="s">
        <v>1537</v>
      </c>
      <c r="F173" t="s">
        <v>1517</v>
      </c>
      <c r="G173" t="s">
        <v>3693</v>
      </c>
      <c r="H173">
        <v>17</v>
      </c>
      <c r="I173">
        <v>4156.25</v>
      </c>
      <c r="J173">
        <v>70656.25</v>
      </c>
    </row>
    <row r="174" spans="1:10">
      <c r="A174" s="4">
        <v>45051</v>
      </c>
      <c r="B174" t="s">
        <v>3676</v>
      </c>
      <c r="C174" t="s">
        <v>3661</v>
      </c>
      <c r="D174" t="s">
        <v>2550</v>
      </c>
      <c r="E174" t="s">
        <v>1537</v>
      </c>
      <c r="F174" t="s">
        <v>1518</v>
      </c>
      <c r="G174" t="s">
        <v>3696</v>
      </c>
      <c r="H174">
        <v>10</v>
      </c>
      <c r="I174">
        <v>3776.8</v>
      </c>
      <c r="J174">
        <v>37768</v>
      </c>
    </row>
    <row r="175" spans="1:10">
      <c r="A175" s="4">
        <v>44950</v>
      </c>
      <c r="B175" t="s">
        <v>3688</v>
      </c>
      <c r="C175" t="s">
        <v>3666</v>
      </c>
      <c r="D175" t="s">
        <v>2548</v>
      </c>
      <c r="E175" t="s">
        <v>1535</v>
      </c>
      <c r="F175" t="s">
        <v>1514</v>
      </c>
      <c r="G175" t="s">
        <v>3682</v>
      </c>
      <c r="H175">
        <v>8</v>
      </c>
      <c r="I175">
        <v>310.33</v>
      </c>
      <c r="J175">
        <v>2482.64</v>
      </c>
    </row>
    <row r="176" spans="1:10">
      <c r="A176" s="4">
        <v>45051</v>
      </c>
      <c r="B176" t="s">
        <v>3681</v>
      </c>
      <c r="C176" t="s">
        <v>3664</v>
      </c>
      <c r="D176" t="s">
        <v>2548</v>
      </c>
      <c r="E176" t="s">
        <v>1535</v>
      </c>
      <c r="F176" t="s">
        <v>3657</v>
      </c>
      <c r="G176" t="s">
        <v>3690</v>
      </c>
      <c r="H176">
        <v>5</v>
      </c>
      <c r="I176">
        <v>1313.4</v>
      </c>
      <c r="J176">
        <v>6567</v>
      </c>
    </row>
    <row r="177" spans="1:10">
      <c r="A177" s="4">
        <v>45218</v>
      </c>
      <c r="B177" t="s">
        <v>3691</v>
      </c>
      <c r="C177" t="s">
        <v>3660</v>
      </c>
      <c r="D177" t="s">
        <v>2549</v>
      </c>
      <c r="E177" t="s">
        <v>1535</v>
      </c>
      <c r="F177" t="s">
        <v>3657</v>
      </c>
      <c r="G177" t="s">
        <v>3692</v>
      </c>
      <c r="H177">
        <v>6</v>
      </c>
      <c r="I177">
        <v>2332.11</v>
      </c>
      <c r="J177">
        <v>13992.66</v>
      </c>
    </row>
    <row r="178" spans="1:10">
      <c r="A178" s="4">
        <v>45045</v>
      </c>
      <c r="B178" t="s">
        <v>3675</v>
      </c>
      <c r="C178" t="s">
        <v>3659</v>
      </c>
      <c r="D178" t="s">
        <v>2551</v>
      </c>
      <c r="E178" t="s">
        <v>1538</v>
      </c>
      <c r="F178" t="s">
        <v>1518</v>
      </c>
      <c r="G178" t="s">
        <v>3700</v>
      </c>
      <c r="H178">
        <v>3</v>
      </c>
      <c r="I178">
        <v>4955.22</v>
      </c>
      <c r="J178">
        <v>14865.66</v>
      </c>
    </row>
    <row r="179" spans="1:10">
      <c r="A179" s="4">
        <v>45243</v>
      </c>
      <c r="B179" t="s">
        <v>3675</v>
      </c>
      <c r="C179" t="s">
        <v>3660</v>
      </c>
      <c r="D179" t="s">
        <v>2549</v>
      </c>
      <c r="E179" t="s">
        <v>1535</v>
      </c>
      <c r="F179" t="s">
        <v>1517</v>
      </c>
      <c r="G179" t="s">
        <v>3672</v>
      </c>
      <c r="H179">
        <v>17</v>
      </c>
      <c r="I179">
        <v>3827.64</v>
      </c>
      <c r="J179">
        <v>65069.88</v>
      </c>
    </row>
    <row r="180" spans="1:10">
      <c r="A180" s="4">
        <v>45173</v>
      </c>
      <c r="B180" t="s">
        <v>3673</v>
      </c>
      <c r="C180" t="s">
        <v>3666</v>
      </c>
      <c r="D180" t="s">
        <v>2548</v>
      </c>
      <c r="E180" t="s">
        <v>1535</v>
      </c>
      <c r="F180" t="s">
        <v>1516</v>
      </c>
      <c r="G180" t="s">
        <v>3677</v>
      </c>
      <c r="H180">
        <v>17</v>
      </c>
      <c r="I180">
        <v>3857.33</v>
      </c>
      <c r="J180">
        <v>65574.61</v>
      </c>
    </row>
    <row r="181" spans="1:10">
      <c r="A181" s="4">
        <v>45256</v>
      </c>
      <c r="B181" t="s">
        <v>3676</v>
      </c>
      <c r="C181" t="s">
        <v>3658</v>
      </c>
      <c r="D181" t="s">
        <v>2550</v>
      </c>
      <c r="E181" t="s">
        <v>1537</v>
      </c>
      <c r="F181" t="s">
        <v>1516</v>
      </c>
      <c r="G181" t="s">
        <v>3687</v>
      </c>
      <c r="H181">
        <v>8</v>
      </c>
      <c r="I181">
        <v>1421.21</v>
      </c>
      <c r="J181">
        <v>11369.68</v>
      </c>
    </row>
    <row r="182" spans="1:10">
      <c r="A182" s="4">
        <v>45104</v>
      </c>
      <c r="B182" t="s">
        <v>3675</v>
      </c>
      <c r="C182" t="s">
        <v>3654</v>
      </c>
      <c r="D182" t="s">
        <v>2549</v>
      </c>
      <c r="E182" t="s">
        <v>1535</v>
      </c>
      <c r="F182" t="s">
        <v>3657</v>
      </c>
      <c r="G182" t="s">
        <v>3694</v>
      </c>
      <c r="H182">
        <v>1</v>
      </c>
      <c r="I182">
        <v>1544.87</v>
      </c>
      <c r="J182">
        <v>1544.87</v>
      </c>
    </row>
    <row r="183" spans="1:10">
      <c r="A183" s="4">
        <v>45136</v>
      </c>
      <c r="B183" t="s">
        <v>3676</v>
      </c>
      <c r="C183" t="s">
        <v>3666</v>
      </c>
      <c r="D183" t="s">
        <v>2548</v>
      </c>
      <c r="E183" t="s">
        <v>1535</v>
      </c>
      <c r="F183" t="s">
        <v>3657</v>
      </c>
      <c r="G183" t="s">
        <v>3692</v>
      </c>
      <c r="H183">
        <v>14</v>
      </c>
      <c r="I183">
        <v>2764.71</v>
      </c>
      <c r="J183">
        <v>38705.94</v>
      </c>
    </row>
    <row r="184" spans="1:10">
      <c r="A184" s="4">
        <v>45111</v>
      </c>
      <c r="B184" t="s">
        <v>3683</v>
      </c>
      <c r="C184" t="s">
        <v>3655</v>
      </c>
      <c r="D184" t="s">
        <v>2552</v>
      </c>
      <c r="E184" t="s">
        <v>1537</v>
      </c>
      <c r="F184" t="s">
        <v>1516</v>
      </c>
      <c r="G184" t="s">
        <v>3677</v>
      </c>
      <c r="H184">
        <v>9</v>
      </c>
      <c r="I184">
        <v>2210.8000000000002</v>
      </c>
      <c r="J184">
        <v>19897.2</v>
      </c>
    </row>
    <row r="185" spans="1:10">
      <c r="A185" s="4">
        <v>44928</v>
      </c>
      <c r="B185" t="s">
        <v>3676</v>
      </c>
      <c r="C185" t="s">
        <v>3656</v>
      </c>
      <c r="D185" t="s">
        <v>2550</v>
      </c>
      <c r="E185" t="s">
        <v>1537</v>
      </c>
      <c r="F185" t="s">
        <v>1517</v>
      </c>
      <c r="G185" t="s">
        <v>3701</v>
      </c>
      <c r="H185">
        <v>3</v>
      </c>
      <c r="I185">
        <v>4359.8999999999996</v>
      </c>
      <c r="J185">
        <v>13079.7</v>
      </c>
    </row>
    <row r="186" spans="1:10">
      <c r="A186" s="4">
        <v>45012</v>
      </c>
      <c r="B186" t="s">
        <v>3688</v>
      </c>
      <c r="C186" t="s">
        <v>3667</v>
      </c>
      <c r="D186" t="s">
        <v>2552</v>
      </c>
      <c r="E186" t="s">
        <v>1537</v>
      </c>
      <c r="F186" t="s">
        <v>1517</v>
      </c>
      <c r="G186" t="s">
        <v>3672</v>
      </c>
      <c r="H186">
        <v>7</v>
      </c>
      <c r="I186">
        <v>3836.77</v>
      </c>
      <c r="J186">
        <v>26857.39</v>
      </c>
    </row>
    <row r="187" spans="1:10">
      <c r="A187" s="4">
        <v>45217</v>
      </c>
      <c r="B187" t="s">
        <v>3684</v>
      </c>
      <c r="C187" t="s">
        <v>3666</v>
      </c>
      <c r="D187" t="s">
        <v>2548</v>
      </c>
      <c r="E187" t="s">
        <v>1535</v>
      </c>
      <c r="F187" t="s">
        <v>1518</v>
      </c>
      <c r="G187" t="s">
        <v>3696</v>
      </c>
      <c r="H187">
        <v>7</v>
      </c>
      <c r="I187">
        <v>560.58000000000004</v>
      </c>
      <c r="J187">
        <v>3924.06</v>
      </c>
    </row>
    <row r="188" spans="1:10">
      <c r="A188" s="4">
        <v>45089</v>
      </c>
      <c r="B188" t="s">
        <v>3681</v>
      </c>
      <c r="C188" t="s">
        <v>3669</v>
      </c>
      <c r="D188" t="s">
        <v>2551</v>
      </c>
      <c r="E188" t="s">
        <v>1538</v>
      </c>
      <c r="F188" t="s">
        <v>1514</v>
      </c>
      <c r="G188" t="s">
        <v>3682</v>
      </c>
      <c r="H188">
        <v>17</v>
      </c>
      <c r="I188">
        <v>1574.45</v>
      </c>
      <c r="J188">
        <v>26765.65</v>
      </c>
    </row>
    <row r="189" spans="1:10">
      <c r="A189" s="4">
        <v>44987</v>
      </c>
      <c r="B189" t="s">
        <v>3679</v>
      </c>
      <c r="C189" t="s">
        <v>3669</v>
      </c>
      <c r="D189" t="s">
        <v>2551</v>
      </c>
      <c r="E189" t="s">
        <v>1538</v>
      </c>
      <c r="F189" t="s">
        <v>1517</v>
      </c>
      <c r="G189" t="s">
        <v>3672</v>
      </c>
      <c r="H189">
        <v>17</v>
      </c>
      <c r="I189">
        <v>578.66999999999996</v>
      </c>
      <c r="J189">
        <v>9837.39</v>
      </c>
    </row>
    <row r="190" spans="1:10">
      <c r="A190" s="4">
        <v>45286</v>
      </c>
      <c r="B190" t="s">
        <v>3684</v>
      </c>
      <c r="C190" t="s">
        <v>3661</v>
      </c>
      <c r="D190" t="s">
        <v>2550</v>
      </c>
      <c r="E190" t="s">
        <v>1537</v>
      </c>
      <c r="F190" t="s">
        <v>3657</v>
      </c>
      <c r="G190" t="s">
        <v>3678</v>
      </c>
      <c r="H190">
        <v>19</v>
      </c>
      <c r="I190">
        <v>1441.02</v>
      </c>
      <c r="J190">
        <v>27379.38</v>
      </c>
    </row>
    <row r="191" spans="1:10">
      <c r="A191" s="4">
        <v>45187</v>
      </c>
      <c r="B191" t="s">
        <v>3673</v>
      </c>
      <c r="C191" t="s">
        <v>3656</v>
      </c>
      <c r="D191" t="s">
        <v>2550</v>
      </c>
      <c r="E191" t="s">
        <v>1537</v>
      </c>
      <c r="F191" t="s">
        <v>1517</v>
      </c>
      <c r="G191" t="s">
        <v>3699</v>
      </c>
      <c r="H191">
        <v>19</v>
      </c>
      <c r="I191">
        <v>618.02</v>
      </c>
      <c r="J191">
        <v>11742.38</v>
      </c>
    </row>
    <row r="192" spans="1:10">
      <c r="A192" s="4">
        <v>44971</v>
      </c>
      <c r="B192" t="s">
        <v>3688</v>
      </c>
      <c r="C192" t="s">
        <v>3664</v>
      </c>
      <c r="D192" t="s">
        <v>2548</v>
      </c>
      <c r="E192" t="s">
        <v>1535</v>
      </c>
      <c r="F192" t="s">
        <v>1518</v>
      </c>
      <c r="G192" t="s">
        <v>3680</v>
      </c>
      <c r="H192">
        <v>15</v>
      </c>
      <c r="I192">
        <v>4093.93</v>
      </c>
      <c r="J192">
        <v>61408.95</v>
      </c>
    </row>
    <row r="193" spans="1:10">
      <c r="A193" s="4">
        <v>44956</v>
      </c>
      <c r="B193" t="s">
        <v>3675</v>
      </c>
      <c r="C193" t="s">
        <v>3663</v>
      </c>
      <c r="D193" t="s">
        <v>2548</v>
      </c>
      <c r="E193" t="s">
        <v>1535</v>
      </c>
      <c r="F193" t="s">
        <v>1517</v>
      </c>
      <c r="G193" t="s">
        <v>3693</v>
      </c>
      <c r="H193">
        <v>16</v>
      </c>
      <c r="I193">
        <v>2714.37</v>
      </c>
      <c r="J193">
        <v>43429.919999999998</v>
      </c>
    </row>
    <row r="194" spans="1:10">
      <c r="A194" s="4">
        <v>45098</v>
      </c>
      <c r="B194" t="s">
        <v>3683</v>
      </c>
      <c r="C194" t="s">
        <v>3664</v>
      </c>
      <c r="D194" t="s">
        <v>2548</v>
      </c>
      <c r="E194" t="s">
        <v>1535</v>
      </c>
      <c r="F194" t="s">
        <v>1516</v>
      </c>
      <c r="G194" t="s">
        <v>3677</v>
      </c>
      <c r="H194">
        <v>8</v>
      </c>
      <c r="I194">
        <v>4658.57</v>
      </c>
      <c r="J194">
        <v>37268.559999999998</v>
      </c>
    </row>
    <row r="195" spans="1:10">
      <c r="A195" s="4">
        <v>45150</v>
      </c>
      <c r="B195" t="s">
        <v>3684</v>
      </c>
      <c r="C195" t="s">
        <v>3660</v>
      </c>
      <c r="D195" t="s">
        <v>2549</v>
      </c>
      <c r="E195" t="s">
        <v>1535</v>
      </c>
      <c r="F195" t="s">
        <v>1518</v>
      </c>
      <c r="G195" t="s">
        <v>3700</v>
      </c>
      <c r="H195">
        <v>20</v>
      </c>
      <c r="I195">
        <v>3203.76</v>
      </c>
      <c r="J195">
        <v>64075.199999999997</v>
      </c>
    </row>
    <row r="196" spans="1:10">
      <c r="A196" s="4">
        <v>45258</v>
      </c>
      <c r="B196" t="s">
        <v>3684</v>
      </c>
      <c r="C196" t="s">
        <v>3668</v>
      </c>
      <c r="D196" t="s">
        <v>2551</v>
      </c>
      <c r="E196" t="s">
        <v>1538</v>
      </c>
      <c r="F196" t="s">
        <v>1514</v>
      </c>
      <c r="G196" t="s">
        <v>3697</v>
      </c>
      <c r="H196">
        <v>5</v>
      </c>
      <c r="I196">
        <v>3572.02</v>
      </c>
      <c r="J196">
        <v>17860.099999999999</v>
      </c>
    </row>
    <row r="197" spans="1:10">
      <c r="A197" s="4">
        <v>44951</v>
      </c>
      <c r="B197" t="s">
        <v>3673</v>
      </c>
      <c r="C197" t="s">
        <v>3666</v>
      </c>
      <c r="D197" t="s">
        <v>2548</v>
      </c>
      <c r="E197" t="s">
        <v>1535</v>
      </c>
      <c r="F197" t="s">
        <v>3657</v>
      </c>
      <c r="G197" t="s">
        <v>3694</v>
      </c>
      <c r="H197">
        <v>4</v>
      </c>
      <c r="I197">
        <v>328.82</v>
      </c>
      <c r="J197">
        <v>1315.28</v>
      </c>
    </row>
    <row r="198" spans="1:10">
      <c r="A198" s="4">
        <v>45083</v>
      </c>
      <c r="B198" t="s">
        <v>3673</v>
      </c>
      <c r="C198" t="s">
        <v>3659</v>
      </c>
      <c r="D198" t="s">
        <v>2551</v>
      </c>
      <c r="E198" t="s">
        <v>1538</v>
      </c>
      <c r="F198" t="s">
        <v>1518</v>
      </c>
      <c r="G198" t="s">
        <v>3680</v>
      </c>
      <c r="H198">
        <v>10</v>
      </c>
      <c r="I198">
        <v>4210.63</v>
      </c>
      <c r="J198">
        <v>42106.3</v>
      </c>
    </row>
    <row r="199" spans="1:10">
      <c r="A199" s="4">
        <v>45007</v>
      </c>
      <c r="B199" t="s">
        <v>3679</v>
      </c>
      <c r="C199" t="s">
        <v>3667</v>
      </c>
      <c r="D199" t="s">
        <v>2552</v>
      </c>
      <c r="E199" t="s">
        <v>1537</v>
      </c>
      <c r="F199" t="s">
        <v>1516</v>
      </c>
      <c r="G199" t="s">
        <v>3677</v>
      </c>
      <c r="H199">
        <v>15</v>
      </c>
      <c r="I199">
        <v>211.9</v>
      </c>
      <c r="J199">
        <v>3178.5</v>
      </c>
    </row>
    <row r="200" spans="1:10">
      <c r="A200" s="4">
        <v>44943</v>
      </c>
      <c r="B200" t="s">
        <v>3691</v>
      </c>
      <c r="C200" t="s">
        <v>3668</v>
      </c>
      <c r="D200" t="s">
        <v>2551</v>
      </c>
      <c r="E200" t="s">
        <v>1538</v>
      </c>
      <c r="F200" t="s">
        <v>1517</v>
      </c>
      <c r="G200" t="s">
        <v>3672</v>
      </c>
      <c r="H200">
        <v>6</v>
      </c>
      <c r="I200">
        <v>1847.42</v>
      </c>
      <c r="J200">
        <v>11084.52</v>
      </c>
    </row>
    <row r="201" spans="1:10">
      <c r="A201" s="4">
        <v>45279</v>
      </c>
      <c r="B201" t="s">
        <v>3675</v>
      </c>
      <c r="C201" t="s">
        <v>3668</v>
      </c>
      <c r="D201" t="s">
        <v>2551</v>
      </c>
      <c r="E201" t="s">
        <v>1538</v>
      </c>
      <c r="F201" t="s">
        <v>3657</v>
      </c>
      <c r="G201" t="s">
        <v>3690</v>
      </c>
      <c r="H201">
        <v>15</v>
      </c>
      <c r="I201">
        <v>3875.6</v>
      </c>
      <c r="J201">
        <v>58134</v>
      </c>
    </row>
    <row r="202" spans="1:10">
      <c r="A202" s="4">
        <v>45124</v>
      </c>
      <c r="B202" t="s">
        <v>3683</v>
      </c>
      <c r="C202" t="s">
        <v>3668</v>
      </c>
      <c r="D202" t="s">
        <v>2551</v>
      </c>
      <c r="E202" t="s">
        <v>1538</v>
      </c>
      <c r="F202" t="s">
        <v>1518</v>
      </c>
      <c r="G202" t="s">
        <v>3680</v>
      </c>
      <c r="H202">
        <v>1</v>
      </c>
      <c r="I202">
        <v>1323.63</v>
      </c>
      <c r="J202">
        <v>1323.63</v>
      </c>
    </row>
    <row r="203" spans="1:10">
      <c r="A203" s="4">
        <v>44988</v>
      </c>
      <c r="B203" t="s">
        <v>3689</v>
      </c>
      <c r="C203" t="s">
        <v>3666</v>
      </c>
      <c r="D203" t="s">
        <v>2548</v>
      </c>
      <c r="E203" t="s">
        <v>1535</v>
      </c>
      <c r="F203" t="s">
        <v>1514</v>
      </c>
      <c r="G203" t="s">
        <v>3697</v>
      </c>
      <c r="H203">
        <v>18</v>
      </c>
      <c r="I203">
        <v>3916.11</v>
      </c>
      <c r="J203">
        <v>70489.98</v>
      </c>
    </row>
    <row r="204" spans="1:10">
      <c r="A204" s="4">
        <v>45002</v>
      </c>
      <c r="B204" t="s">
        <v>3676</v>
      </c>
      <c r="C204" t="s">
        <v>3663</v>
      </c>
      <c r="D204" t="s">
        <v>2548</v>
      </c>
      <c r="E204" t="s">
        <v>1535</v>
      </c>
      <c r="F204" t="s">
        <v>1517</v>
      </c>
      <c r="G204" t="s">
        <v>3699</v>
      </c>
      <c r="H204">
        <v>16</v>
      </c>
      <c r="I204">
        <v>4624.91</v>
      </c>
      <c r="J204">
        <v>73998.559999999998</v>
      </c>
    </row>
    <row r="205" spans="1:10">
      <c r="A205" s="4">
        <v>45037</v>
      </c>
      <c r="B205" t="s">
        <v>3676</v>
      </c>
      <c r="C205" t="s">
        <v>3660</v>
      </c>
      <c r="D205" t="s">
        <v>2549</v>
      </c>
      <c r="E205" t="s">
        <v>1535</v>
      </c>
      <c r="F205" t="s">
        <v>1518</v>
      </c>
      <c r="G205" t="s">
        <v>3700</v>
      </c>
      <c r="H205">
        <v>8</v>
      </c>
      <c r="I205">
        <v>4091.1</v>
      </c>
      <c r="J205">
        <v>32728.799999999999</v>
      </c>
    </row>
    <row r="206" spans="1:10">
      <c r="A206" s="4">
        <v>45157</v>
      </c>
      <c r="B206" t="s">
        <v>3673</v>
      </c>
      <c r="C206" t="s">
        <v>3660</v>
      </c>
      <c r="D206" t="s">
        <v>2549</v>
      </c>
      <c r="E206" t="s">
        <v>1535</v>
      </c>
      <c r="F206" t="s">
        <v>1517</v>
      </c>
      <c r="G206" t="s">
        <v>3699</v>
      </c>
      <c r="H206">
        <v>16</v>
      </c>
      <c r="I206">
        <v>3369.55</v>
      </c>
      <c r="J206">
        <v>53912.800000000003</v>
      </c>
    </row>
    <row r="207" spans="1:10">
      <c r="A207" s="4">
        <v>45209</v>
      </c>
      <c r="B207" t="s">
        <v>3681</v>
      </c>
      <c r="C207" t="s">
        <v>3662</v>
      </c>
      <c r="D207" t="s">
        <v>2552</v>
      </c>
      <c r="E207" t="s">
        <v>1537</v>
      </c>
      <c r="F207" t="s">
        <v>1517</v>
      </c>
      <c r="G207" t="s">
        <v>3693</v>
      </c>
      <c r="H207">
        <v>3</v>
      </c>
      <c r="I207">
        <v>3591.92</v>
      </c>
      <c r="J207">
        <v>10775.76</v>
      </c>
    </row>
    <row r="208" spans="1:10">
      <c r="A208" s="4">
        <v>45154</v>
      </c>
      <c r="B208" t="s">
        <v>3688</v>
      </c>
      <c r="C208" t="s">
        <v>3654</v>
      </c>
      <c r="D208" t="s">
        <v>2549</v>
      </c>
      <c r="E208" t="s">
        <v>1535</v>
      </c>
      <c r="F208" t="s">
        <v>1516</v>
      </c>
      <c r="G208" t="s">
        <v>3677</v>
      </c>
      <c r="H208">
        <v>4</v>
      </c>
      <c r="I208">
        <v>4298.3500000000004</v>
      </c>
      <c r="J208">
        <v>17193.400000000001</v>
      </c>
    </row>
    <row r="209" spans="1:10">
      <c r="A209" s="4">
        <v>45145</v>
      </c>
      <c r="B209" t="s">
        <v>3673</v>
      </c>
      <c r="C209" t="s">
        <v>3666</v>
      </c>
      <c r="D209" t="s">
        <v>2548</v>
      </c>
      <c r="E209" t="s">
        <v>1535</v>
      </c>
      <c r="F209" t="s">
        <v>1518</v>
      </c>
      <c r="G209" t="s">
        <v>3696</v>
      </c>
      <c r="H209">
        <v>11</v>
      </c>
      <c r="I209">
        <v>3687.73</v>
      </c>
      <c r="J209">
        <v>40565.03</v>
      </c>
    </row>
    <row r="210" spans="1:10">
      <c r="A210" s="4">
        <v>45218</v>
      </c>
      <c r="B210" t="s">
        <v>3675</v>
      </c>
      <c r="C210" t="s">
        <v>3663</v>
      </c>
      <c r="D210" t="s">
        <v>2548</v>
      </c>
      <c r="E210" t="s">
        <v>1535</v>
      </c>
      <c r="F210" t="s">
        <v>3657</v>
      </c>
      <c r="G210" t="s">
        <v>3694</v>
      </c>
      <c r="H210">
        <v>12</v>
      </c>
      <c r="I210">
        <v>548.36</v>
      </c>
      <c r="J210">
        <v>6580.32</v>
      </c>
    </row>
    <row r="211" spans="1:10">
      <c r="A211" s="4">
        <v>45086</v>
      </c>
      <c r="B211" t="s">
        <v>3684</v>
      </c>
      <c r="C211" t="s">
        <v>3667</v>
      </c>
      <c r="D211" t="s">
        <v>2552</v>
      </c>
      <c r="E211" t="s">
        <v>1537</v>
      </c>
      <c r="F211" t="s">
        <v>1516</v>
      </c>
      <c r="G211" t="s">
        <v>3677</v>
      </c>
      <c r="H211">
        <v>6</v>
      </c>
      <c r="I211">
        <v>3931.61</v>
      </c>
      <c r="J211">
        <v>23589.66</v>
      </c>
    </row>
    <row r="212" spans="1:10">
      <c r="A212" s="4">
        <v>45118</v>
      </c>
      <c r="B212" t="s">
        <v>3673</v>
      </c>
      <c r="C212" t="s">
        <v>3660</v>
      </c>
      <c r="D212" t="s">
        <v>2549</v>
      </c>
      <c r="E212" t="s">
        <v>1535</v>
      </c>
      <c r="F212" t="s">
        <v>1516</v>
      </c>
      <c r="G212" t="s">
        <v>3686</v>
      </c>
      <c r="H212">
        <v>18</v>
      </c>
      <c r="I212">
        <v>1120.0999999999999</v>
      </c>
      <c r="J212">
        <v>20161.8</v>
      </c>
    </row>
    <row r="213" spans="1:10">
      <c r="A213" s="4">
        <v>44970</v>
      </c>
      <c r="B213" t="s">
        <v>3689</v>
      </c>
      <c r="C213" t="s">
        <v>3655</v>
      </c>
      <c r="D213" t="s">
        <v>2552</v>
      </c>
      <c r="E213" t="s">
        <v>1537</v>
      </c>
      <c r="F213" t="s">
        <v>1518</v>
      </c>
      <c r="G213" t="s">
        <v>3700</v>
      </c>
      <c r="H213">
        <v>11</v>
      </c>
      <c r="I213">
        <v>1473.35</v>
      </c>
      <c r="J213">
        <v>16206.85</v>
      </c>
    </row>
    <row r="214" spans="1:10">
      <c r="A214" s="4">
        <v>45185</v>
      </c>
      <c r="B214" t="s">
        <v>3679</v>
      </c>
      <c r="C214" t="s">
        <v>3666</v>
      </c>
      <c r="D214" t="s">
        <v>2548</v>
      </c>
      <c r="E214" t="s">
        <v>1535</v>
      </c>
      <c r="F214" t="s">
        <v>1514</v>
      </c>
      <c r="G214" t="s">
        <v>3685</v>
      </c>
      <c r="H214">
        <v>6</v>
      </c>
      <c r="I214">
        <v>297.27</v>
      </c>
      <c r="J214">
        <v>1783.62</v>
      </c>
    </row>
    <row r="215" spans="1:10">
      <c r="A215" s="4">
        <v>45285</v>
      </c>
      <c r="B215" t="s">
        <v>3673</v>
      </c>
      <c r="C215" t="s">
        <v>3654</v>
      </c>
      <c r="D215" t="s">
        <v>2549</v>
      </c>
      <c r="E215" t="s">
        <v>1535</v>
      </c>
      <c r="F215" t="s">
        <v>3657</v>
      </c>
      <c r="G215" t="s">
        <v>3690</v>
      </c>
      <c r="H215">
        <v>5</v>
      </c>
      <c r="I215">
        <v>4872.8900000000003</v>
      </c>
      <c r="J215">
        <v>24364.45</v>
      </c>
    </row>
    <row r="216" spans="1:10">
      <c r="A216" s="4">
        <v>45122</v>
      </c>
      <c r="B216" t="s">
        <v>3683</v>
      </c>
      <c r="C216" t="s">
        <v>3669</v>
      </c>
      <c r="D216" t="s">
        <v>2551</v>
      </c>
      <c r="E216" t="s">
        <v>1538</v>
      </c>
      <c r="F216" t="s">
        <v>3657</v>
      </c>
      <c r="G216" t="s">
        <v>3692</v>
      </c>
      <c r="H216">
        <v>20</v>
      </c>
      <c r="I216">
        <v>4711.51</v>
      </c>
      <c r="J216">
        <v>94230.2</v>
      </c>
    </row>
    <row r="217" spans="1:10">
      <c r="A217" s="4">
        <v>45244</v>
      </c>
      <c r="B217" t="s">
        <v>3691</v>
      </c>
      <c r="C217" t="s">
        <v>3666</v>
      </c>
      <c r="D217" t="s">
        <v>2548</v>
      </c>
      <c r="E217" t="s">
        <v>1535</v>
      </c>
      <c r="F217" t="s">
        <v>1514</v>
      </c>
      <c r="G217" t="s">
        <v>3685</v>
      </c>
      <c r="H217">
        <v>5</v>
      </c>
      <c r="I217">
        <v>4096.54</v>
      </c>
      <c r="J217">
        <v>20482.7</v>
      </c>
    </row>
    <row r="218" spans="1:10">
      <c r="A218" s="4">
        <v>45214</v>
      </c>
      <c r="B218" t="s">
        <v>3684</v>
      </c>
      <c r="C218" t="s">
        <v>3669</v>
      </c>
      <c r="D218" t="s">
        <v>2551</v>
      </c>
      <c r="E218" t="s">
        <v>1538</v>
      </c>
      <c r="F218" t="s">
        <v>3657</v>
      </c>
      <c r="G218" t="s">
        <v>3692</v>
      </c>
      <c r="H218">
        <v>6</v>
      </c>
      <c r="I218">
        <v>830.82</v>
      </c>
      <c r="J218">
        <v>4984.92</v>
      </c>
    </row>
    <row r="219" spans="1:10">
      <c r="A219" s="4">
        <v>45110</v>
      </c>
      <c r="B219" t="s">
        <v>3688</v>
      </c>
      <c r="C219" t="s">
        <v>3668</v>
      </c>
      <c r="D219" t="s">
        <v>2551</v>
      </c>
      <c r="E219" t="s">
        <v>1538</v>
      </c>
      <c r="F219" t="s">
        <v>3657</v>
      </c>
      <c r="G219" t="s">
        <v>3678</v>
      </c>
      <c r="H219">
        <v>3</v>
      </c>
      <c r="I219">
        <v>4637.38</v>
      </c>
      <c r="J219">
        <v>13912.14</v>
      </c>
    </row>
    <row r="220" spans="1:10">
      <c r="A220" s="4">
        <v>44959</v>
      </c>
      <c r="B220" t="s">
        <v>3689</v>
      </c>
      <c r="C220" t="s">
        <v>3667</v>
      </c>
      <c r="D220" t="s">
        <v>2552</v>
      </c>
      <c r="E220" t="s">
        <v>1537</v>
      </c>
      <c r="F220" t="s">
        <v>1518</v>
      </c>
      <c r="G220" t="s">
        <v>3674</v>
      </c>
      <c r="H220">
        <v>5</v>
      </c>
      <c r="I220">
        <v>3770.1</v>
      </c>
      <c r="J220">
        <v>18850.5</v>
      </c>
    </row>
    <row r="221" spans="1:10">
      <c r="A221" s="4">
        <v>45260</v>
      </c>
      <c r="B221" t="s">
        <v>3681</v>
      </c>
      <c r="C221" t="s">
        <v>3662</v>
      </c>
      <c r="D221" t="s">
        <v>2552</v>
      </c>
      <c r="E221" t="s">
        <v>1537</v>
      </c>
      <c r="F221" t="s">
        <v>3657</v>
      </c>
      <c r="G221" t="s">
        <v>3690</v>
      </c>
      <c r="H221">
        <v>20</v>
      </c>
      <c r="I221">
        <v>285.95999999999998</v>
      </c>
      <c r="J221">
        <v>5719.2</v>
      </c>
    </row>
    <row r="222" spans="1:10">
      <c r="A222" s="4">
        <v>45024</v>
      </c>
      <c r="B222" t="s">
        <v>3683</v>
      </c>
      <c r="C222" t="s">
        <v>3668</v>
      </c>
      <c r="D222" t="s">
        <v>2551</v>
      </c>
      <c r="E222" t="s">
        <v>1538</v>
      </c>
      <c r="F222" t="s">
        <v>1517</v>
      </c>
      <c r="G222" t="s">
        <v>3701</v>
      </c>
      <c r="H222">
        <v>6</v>
      </c>
      <c r="I222">
        <v>1912.36</v>
      </c>
      <c r="J222">
        <v>11474.16</v>
      </c>
    </row>
    <row r="223" spans="1:10">
      <c r="A223" s="4">
        <v>45099</v>
      </c>
      <c r="B223" t="s">
        <v>3675</v>
      </c>
      <c r="C223" t="s">
        <v>3664</v>
      </c>
      <c r="D223" t="s">
        <v>2548</v>
      </c>
      <c r="E223" t="s">
        <v>1535</v>
      </c>
      <c r="F223" t="s">
        <v>1516</v>
      </c>
      <c r="G223" t="s">
        <v>3677</v>
      </c>
      <c r="H223">
        <v>19</v>
      </c>
      <c r="I223">
        <v>3648.27</v>
      </c>
      <c r="J223">
        <v>69317.13</v>
      </c>
    </row>
    <row r="224" spans="1:10">
      <c r="A224" s="4">
        <v>45081</v>
      </c>
      <c r="B224" t="s">
        <v>3676</v>
      </c>
      <c r="C224" t="s">
        <v>3667</v>
      </c>
      <c r="D224" t="s">
        <v>2552</v>
      </c>
      <c r="E224" t="s">
        <v>1537</v>
      </c>
      <c r="F224" t="s">
        <v>1517</v>
      </c>
      <c r="G224" t="s">
        <v>3699</v>
      </c>
      <c r="H224">
        <v>20</v>
      </c>
      <c r="I224">
        <v>473.23</v>
      </c>
      <c r="J224">
        <v>9464.6</v>
      </c>
    </row>
    <row r="225" spans="1:10">
      <c r="A225" s="4">
        <v>45254</v>
      </c>
      <c r="B225" t="s">
        <v>3673</v>
      </c>
      <c r="C225" t="s">
        <v>3658</v>
      </c>
      <c r="D225" t="s">
        <v>2550</v>
      </c>
      <c r="E225" t="s">
        <v>1537</v>
      </c>
      <c r="F225" t="s">
        <v>1514</v>
      </c>
      <c r="G225" t="s">
        <v>3682</v>
      </c>
      <c r="H225">
        <v>16</v>
      </c>
      <c r="I225">
        <v>1870.47</v>
      </c>
      <c r="J225">
        <v>29927.52</v>
      </c>
    </row>
    <row r="226" spans="1:10">
      <c r="A226" s="4">
        <v>45015</v>
      </c>
      <c r="B226" t="s">
        <v>3684</v>
      </c>
      <c r="C226" t="s">
        <v>3659</v>
      </c>
      <c r="D226" t="s">
        <v>2551</v>
      </c>
      <c r="E226" t="s">
        <v>1538</v>
      </c>
      <c r="F226" t="s">
        <v>3657</v>
      </c>
      <c r="G226" t="s">
        <v>3692</v>
      </c>
      <c r="H226">
        <v>18</v>
      </c>
      <c r="I226">
        <v>835.8</v>
      </c>
      <c r="J226">
        <v>15044.4</v>
      </c>
    </row>
    <row r="227" spans="1:10">
      <c r="A227" s="4">
        <v>45110</v>
      </c>
      <c r="B227" t="s">
        <v>3691</v>
      </c>
      <c r="C227" t="s">
        <v>3660</v>
      </c>
      <c r="D227" t="s">
        <v>2549</v>
      </c>
      <c r="E227" t="s">
        <v>1535</v>
      </c>
      <c r="F227" t="s">
        <v>1518</v>
      </c>
      <c r="G227" t="s">
        <v>3696</v>
      </c>
      <c r="H227">
        <v>18</v>
      </c>
      <c r="I227">
        <v>4850.91</v>
      </c>
      <c r="J227">
        <v>87316.38</v>
      </c>
    </row>
    <row r="228" spans="1:10">
      <c r="A228" s="4">
        <v>45037</v>
      </c>
      <c r="B228" t="s">
        <v>3676</v>
      </c>
      <c r="C228" t="s">
        <v>3665</v>
      </c>
      <c r="D228" t="s">
        <v>2549</v>
      </c>
      <c r="E228" t="s">
        <v>1535</v>
      </c>
      <c r="F228" t="s">
        <v>1517</v>
      </c>
      <c r="G228" t="s">
        <v>3672</v>
      </c>
      <c r="H228">
        <v>10</v>
      </c>
      <c r="I228">
        <v>2200.91</v>
      </c>
      <c r="J228">
        <v>22009.1</v>
      </c>
    </row>
    <row r="229" spans="1:10">
      <c r="A229" s="4">
        <v>45270</v>
      </c>
      <c r="B229" t="s">
        <v>3689</v>
      </c>
      <c r="C229" t="s">
        <v>3655</v>
      </c>
      <c r="D229" t="s">
        <v>2552</v>
      </c>
      <c r="E229" t="s">
        <v>1537</v>
      </c>
      <c r="F229" t="s">
        <v>1514</v>
      </c>
      <c r="G229" t="s">
        <v>3682</v>
      </c>
      <c r="H229">
        <v>9</v>
      </c>
      <c r="I229">
        <v>1694.83</v>
      </c>
      <c r="J229">
        <v>15253.47</v>
      </c>
    </row>
    <row r="230" spans="1:10">
      <c r="A230" s="4">
        <v>44963</v>
      </c>
      <c r="B230" t="s">
        <v>3691</v>
      </c>
      <c r="C230" t="s">
        <v>3661</v>
      </c>
      <c r="D230" t="s">
        <v>2550</v>
      </c>
      <c r="E230" t="s">
        <v>1537</v>
      </c>
      <c r="F230" t="s">
        <v>1517</v>
      </c>
      <c r="G230" t="s">
        <v>3699</v>
      </c>
      <c r="H230">
        <v>10</v>
      </c>
      <c r="I230">
        <v>1229.56</v>
      </c>
      <c r="J230">
        <v>12295.6</v>
      </c>
    </row>
    <row r="231" spans="1:10">
      <c r="A231" s="4">
        <v>44952</v>
      </c>
      <c r="B231" t="s">
        <v>3691</v>
      </c>
      <c r="C231" t="s">
        <v>3666</v>
      </c>
      <c r="D231" t="s">
        <v>2548</v>
      </c>
      <c r="E231" t="s">
        <v>1535</v>
      </c>
      <c r="F231" t="s">
        <v>3657</v>
      </c>
      <c r="G231" t="s">
        <v>3678</v>
      </c>
      <c r="H231">
        <v>14</v>
      </c>
      <c r="I231">
        <v>705.15</v>
      </c>
      <c r="J231">
        <v>9872.1</v>
      </c>
    </row>
    <row r="232" spans="1:10">
      <c r="A232" s="4">
        <v>45068</v>
      </c>
      <c r="B232" t="s">
        <v>3688</v>
      </c>
      <c r="C232" t="s">
        <v>3668</v>
      </c>
      <c r="D232" t="s">
        <v>2551</v>
      </c>
      <c r="E232" t="s">
        <v>1538</v>
      </c>
      <c r="F232" t="s">
        <v>1516</v>
      </c>
      <c r="G232" t="s">
        <v>3686</v>
      </c>
      <c r="H232">
        <v>19</v>
      </c>
      <c r="I232">
        <v>3485.85</v>
      </c>
      <c r="J232">
        <v>66231.149999999994</v>
      </c>
    </row>
    <row r="233" spans="1:10">
      <c r="A233" s="4">
        <v>44977</v>
      </c>
      <c r="B233" t="s">
        <v>3675</v>
      </c>
      <c r="C233" t="s">
        <v>3669</v>
      </c>
      <c r="D233" t="s">
        <v>2551</v>
      </c>
      <c r="E233" t="s">
        <v>1538</v>
      </c>
      <c r="F233" t="s">
        <v>1514</v>
      </c>
      <c r="G233" t="s">
        <v>3682</v>
      </c>
      <c r="H233">
        <v>10</v>
      </c>
      <c r="I233">
        <v>3633.26</v>
      </c>
      <c r="J233">
        <v>36332.6</v>
      </c>
    </row>
    <row r="234" spans="1:10">
      <c r="A234" s="4">
        <v>45179</v>
      </c>
      <c r="B234" t="s">
        <v>3688</v>
      </c>
      <c r="C234" t="s">
        <v>3660</v>
      </c>
      <c r="D234" t="s">
        <v>2549</v>
      </c>
      <c r="E234" t="s">
        <v>1535</v>
      </c>
      <c r="F234" t="s">
        <v>3657</v>
      </c>
      <c r="G234" t="s">
        <v>3694</v>
      </c>
      <c r="H234">
        <v>14</v>
      </c>
      <c r="I234">
        <v>1245.9000000000001</v>
      </c>
      <c r="J234">
        <v>17442.599999999999</v>
      </c>
    </row>
    <row r="235" spans="1:10">
      <c r="A235" s="4">
        <v>45257</v>
      </c>
      <c r="B235" t="s">
        <v>3679</v>
      </c>
      <c r="C235" t="s">
        <v>3669</v>
      </c>
      <c r="D235" t="s">
        <v>2551</v>
      </c>
      <c r="E235" t="s">
        <v>1538</v>
      </c>
      <c r="F235" t="s">
        <v>1517</v>
      </c>
      <c r="G235" t="s">
        <v>3672</v>
      </c>
      <c r="H235">
        <v>4</v>
      </c>
      <c r="I235">
        <v>4553.5200000000004</v>
      </c>
      <c r="J235">
        <v>18214.080000000002</v>
      </c>
    </row>
    <row r="236" spans="1:10">
      <c r="A236" s="4">
        <v>45146</v>
      </c>
      <c r="B236" t="s">
        <v>3675</v>
      </c>
      <c r="C236" t="s">
        <v>3665</v>
      </c>
      <c r="D236" t="s">
        <v>2549</v>
      </c>
      <c r="E236" t="s">
        <v>1535</v>
      </c>
      <c r="F236" t="s">
        <v>1517</v>
      </c>
      <c r="G236" t="s">
        <v>3693</v>
      </c>
      <c r="H236">
        <v>3</v>
      </c>
      <c r="I236">
        <v>1417.18</v>
      </c>
      <c r="J236">
        <v>4251.54</v>
      </c>
    </row>
    <row r="237" spans="1:10">
      <c r="A237" s="4">
        <v>45069</v>
      </c>
      <c r="B237" t="s">
        <v>3683</v>
      </c>
      <c r="C237" t="s">
        <v>3660</v>
      </c>
      <c r="D237" t="s">
        <v>2549</v>
      </c>
      <c r="E237" t="s">
        <v>1535</v>
      </c>
      <c r="F237" t="s">
        <v>1514</v>
      </c>
      <c r="G237" t="s">
        <v>3698</v>
      </c>
      <c r="H237">
        <v>7</v>
      </c>
      <c r="I237">
        <v>1249.3599999999999</v>
      </c>
      <c r="J237">
        <v>8745.52</v>
      </c>
    </row>
    <row r="238" spans="1:10">
      <c r="A238" s="4">
        <v>45098</v>
      </c>
      <c r="B238" t="s">
        <v>3681</v>
      </c>
      <c r="C238" t="s">
        <v>3661</v>
      </c>
      <c r="D238" t="s">
        <v>2550</v>
      </c>
      <c r="E238" t="s">
        <v>1537</v>
      </c>
      <c r="F238" t="s">
        <v>1516</v>
      </c>
      <c r="G238" t="s">
        <v>3695</v>
      </c>
      <c r="H238">
        <v>7</v>
      </c>
      <c r="I238">
        <v>3911.96</v>
      </c>
      <c r="J238">
        <v>27383.72</v>
      </c>
    </row>
    <row r="239" spans="1:10">
      <c r="A239" s="4">
        <v>45043</v>
      </c>
      <c r="B239" t="s">
        <v>3679</v>
      </c>
      <c r="C239" t="s">
        <v>3655</v>
      </c>
      <c r="D239" t="s">
        <v>2552</v>
      </c>
      <c r="E239" t="s">
        <v>1537</v>
      </c>
      <c r="F239" t="s">
        <v>1516</v>
      </c>
      <c r="G239" t="s">
        <v>3686</v>
      </c>
      <c r="H239">
        <v>4</v>
      </c>
      <c r="I239">
        <v>3087.87</v>
      </c>
      <c r="J239">
        <v>12351.48</v>
      </c>
    </row>
    <row r="240" spans="1:10">
      <c r="A240" s="4">
        <v>45241</v>
      </c>
      <c r="B240" t="s">
        <v>3679</v>
      </c>
      <c r="C240" t="s">
        <v>3660</v>
      </c>
      <c r="D240" t="s">
        <v>2549</v>
      </c>
      <c r="E240" t="s">
        <v>1535</v>
      </c>
      <c r="F240" t="s">
        <v>1514</v>
      </c>
      <c r="G240" t="s">
        <v>3698</v>
      </c>
      <c r="H240">
        <v>16</v>
      </c>
      <c r="I240">
        <v>628.15</v>
      </c>
      <c r="J240">
        <v>10050.4</v>
      </c>
    </row>
    <row r="241" spans="1:10">
      <c r="A241" s="4">
        <v>45137</v>
      </c>
      <c r="B241" t="s">
        <v>3683</v>
      </c>
      <c r="C241" t="s">
        <v>3667</v>
      </c>
      <c r="D241" t="s">
        <v>2552</v>
      </c>
      <c r="E241" t="s">
        <v>1537</v>
      </c>
      <c r="F241" t="s">
        <v>3657</v>
      </c>
      <c r="G241" t="s">
        <v>3694</v>
      </c>
      <c r="H241">
        <v>15</v>
      </c>
      <c r="I241">
        <v>3100.61</v>
      </c>
      <c r="J241">
        <v>46509.15</v>
      </c>
    </row>
    <row r="242" spans="1:10">
      <c r="A242" s="4">
        <v>45064</v>
      </c>
      <c r="B242" t="s">
        <v>3675</v>
      </c>
      <c r="C242" t="s">
        <v>3655</v>
      </c>
      <c r="D242" t="s">
        <v>2552</v>
      </c>
      <c r="E242" t="s">
        <v>1537</v>
      </c>
      <c r="F242" t="s">
        <v>1516</v>
      </c>
      <c r="G242" t="s">
        <v>3686</v>
      </c>
      <c r="H242">
        <v>10</v>
      </c>
      <c r="I242">
        <v>4017.66</v>
      </c>
      <c r="J242">
        <v>40176.6</v>
      </c>
    </row>
    <row r="243" spans="1:10">
      <c r="A243" s="4">
        <v>45152</v>
      </c>
      <c r="B243" t="s">
        <v>3675</v>
      </c>
      <c r="C243" t="s">
        <v>3662</v>
      </c>
      <c r="D243" t="s">
        <v>2552</v>
      </c>
      <c r="E243" t="s">
        <v>1537</v>
      </c>
      <c r="F243" t="s">
        <v>1517</v>
      </c>
      <c r="G243" t="s">
        <v>3693</v>
      </c>
      <c r="H243">
        <v>3</v>
      </c>
      <c r="I243">
        <v>3389.2</v>
      </c>
      <c r="J243">
        <v>10167.6</v>
      </c>
    </row>
    <row r="244" spans="1:10">
      <c r="A244" s="4">
        <v>45072</v>
      </c>
      <c r="B244" t="s">
        <v>3676</v>
      </c>
      <c r="C244" t="s">
        <v>3660</v>
      </c>
      <c r="D244" t="s">
        <v>2549</v>
      </c>
      <c r="E244" t="s">
        <v>1535</v>
      </c>
      <c r="F244" t="s">
        <v>3657</v>
      </c>
      <c r="G244" t="s">
        <v>3678</v>
      </c>
      <c r="H244">
        <v>20</v>
      </c>
      <c r="I244">
        <v>2441.83</v>
      </c>
      <c r="J244">
        <v>48836.6</v>
      </c>
    </row>
    <row r="245" spans="1:10">
      <c r="A245" s="4">
        <v>45269</v>
      </c>
      <c r="B245" t="s">
        <v>3675</v>
      </c>
      <c r="C245" t="s">
        <v>3659</v>
      </c>
      <c r="D245" t="s">
        <v>2551</v>
      </c>
      <c r="E245" t="s">
        <v>1538</v>
      </c>
      <c r="F245" t="s">
        <v>1517</v>
      </c>
      <c r="G245" t="s">
        <v>3699</v>
      </c>
      <c r="H245">
        <v>17</v>
      </c>
      <c r="I245">
        <v>2655.98</v>
      </c>
      <c r="J245">
        <v>45151.66</v>
      </c>
    </row>
    <row r="246" spans="1:10">
      <c r="A246" s="4">
        <v>44929</v>
      </c>
      <c r="B246" t="s">
        <v>3675</v>
      </c>
      <c r="C246" t="s">
        <v>3655</v>
      </c>
      <c r="D246" t="s">
        <v>2552</v>
      </c>
      <c r="E246" t="s">
        <v>1537</v>
      </c>
      <c r="F246" t="s">
        <v>1514</v>
      </c>
      <c r="G246" t="s">
        <v>3698</v>
      </c>
      <c r="H246">
        <v>3</v>
      </c>
      <c r="I246">
        <v>4908.74</v>
      </c>
      <c r="J246">
        <v>14726.22</v>
      </c>
    </row>
    <row r="247" spans="1:10">
      <c r="A247" s="4">
        <v>45192</v>
      </c>
      <c r="B247" t="s">
        <v>3688</v>
      </c>
      <c r="C247" t="s">
        <v>3668</v>
      </c>
      <c r="D247" t="s">
        <v>2551</v>
      </c>
      <c r="E247" t="s">
        <v>1538</v>
      </c>
      <c r="F247" t="s">
        <v>1514</v>
      </c>
      <c r="G247" t="s">
        <v>3698</v>
      </c>
      <c r="H247">
        <v>13</v>
      </c>
      <c r="I247">
        <v>4121.8</v>
      </c>
      <c r="J247">
        <v>53583.4</v>
      </c>
    </row>
    <row r="248" spans="1:10">
      <c r="A248" s="4">
        <v>44991</v>
      </c>
      <c r="B248" t="s">
        <v>3691</v>
      </c>
      <c r="C248" t="s">
        <v>3660</v>
      </c>
      <c r="D248" t="s">
        <v>2549</v>
      </c>
      <c r="E248" t="s">
        <v>1535</v>
      </c>
      <c r="F248" t="s">
        <v>1514</v>
      </c>
      <c r="G248" t="s">
        <v>3698</v>
      </c>
      <c r="H248">
        <v>7</v>
      </c>
      <c r="I248">
        <v>2083.7800000000002</v>
      </c>
      <c r="J248">
        <v>14586.46</v>
      </c>
    </row>
    <row r="249" spans="1:10">
      <c r="A249" s="4">
        <v>44967</v>
      </c>
      <c r="B249" t="s">
        <v>3683</v>
      </c>
      <c r="C249" t="s">
        <v>3665</v>
      </c>
      <c r="D249" t="s">
        <v>2549</v>
      </c>
      <c r="E249" t="s">
        <v>1535</v>
      </c>
      <c r="F249" t="s">
        <v>1516</v>
      </c>
      <c r="G249" t="s">
        <v>3695</v>
      </c>
      <c r="H249">
        <v>4</v>
      </c>
      <c r="I249">
        <v>697.88</v>
      </c>
      <c r="J249">
        <v>2791.52</v>
      </c>
    </row>
    <row r="250" spans="1:10">
      <c r="A250" s="4">
        <v>45017</v>
      </c>
      <c r="B250" t="s">
        <v>3691</v>
      </c>
      <c r="C250" t="s">
        <v>3669</v>
      </c>
      <c r="D250" t="s">
        <v>2551</v>
      </c>
      <c r="E250" t="s">
        <v>1538</v>
      </c>
      <c r="F250" t="s">
        <v>1514</v>
      </c>
      <c r="G250" t="s">
        <v>3697</v>
      </c>
      <c r="H250">
        <v>3</v>
      </c>
      <c r="I250">
        <v>3754.7</v>
      </c>
      <c r="J250">
        <v>11264.1</v>
      </c>
    </row>
    <row r="251" spans="1:10">
      <c r="A251" s="4">
        <v>45212</v>
      </c>
      <c r="B251" t="s">
        <v>3676</v>
      </c>
      <c r="C251" t="s">
        <v>3661</v>
      </c>
      <c r="D251" t="s">
        <v>2550</v>
      </c>
      <c r="E251" t="s">
        <v>1537</v>
      </c>
      <c r="F251" t="s">
        <v>1517</v>
      </c>
      <c r="G251" t="s">
        <v>3701</v>
      </c>
      <c r="H251">
        <v>20</v>
      </c>
      <c r="I251">
        <v>2449.44</v>
      </c>
      <c r="J251">
        <v>48988.800000000003</v>
      </c>
    </row>
    <row r="252" spans="1:10">
      <c r="A252" s="4">
        <v>45109</v>
      </c>
      <c r="B252" t="s">
        <v>3679</v>
      </c>
      <c r="C252" t="s">
        <v>3656</v>
      </c>
      <c r="D252" t="s">
        <v>2550</v>
      </c>
      <c r="E252" t="s">
        <v>1537</v>
      </c>
      <c r="F252" t="s">
        <v>1514</v>
      </c>
      <c r="G252" t="s">
        <v>3685</v>
      </c>
      <c r="H252">
        <v>6</v>
      </c>
      <c r="I252">
        <v>2862.86</v>
      </c>
      <c r="J252">
        <v>17177.16</v>
      </c>
    </row>
    <row r="253" spans="1:10">
      <c r="A253" s="4">
        <v>45092</v>
      </c>
      <c r="B253" t="s">
        <v>3684</v>
      </c>
      <c r="C253" t="s">
        <v>3656</v>
      </c>
      <c r="D253" t="s">
        <v>2550</v>
      </c>
      <c r="E253" t="s">
        <v>1537</v>
      </c>
      <c r="F253" t="s">
        <v>1518</v>
      </c>
      <c r="G253" t="s">
        <v>3674</v>
      </c>
      <c r="H253">
        <v>4</v>
      </c>
      <c r="I253">
        <v>4795.3999999999996</v>
      </c>
      <c r="J253">
        <v>19181.599999999999</v>
      </c>
    </row>
    <row r="254" spans="1:10">
      <c r="A254" s="4">
        <v>45242</v>
      </c>
      <c r="B254" t="s">
        <v>3684</v>
      </c>
      <c r="C254" t="s">
        <v>3669</v>
      </c>
      <c r="D254" t="s">
        <v>2551</v>
      </c>
      <c r="E254" t="s">
        <v>1538</v>
      </c>
      <c r="F254" t="s">
        <v>1517</v>
      </c>
      <c r="G254" t="s">
        <v>3699</v>
      </c>
      <c r="H254">
        <v>3</v>
      </c>
      <c r="I254">
        <v>672.84</v>
      </c>
      <c r="J254">
        <v>2018.52</v>
      </c>
    </row>
    <row r="255" spans="1:10">
      <c r="A255" s="4">
        <v>45175</v>
      </c>
      <c r="B255" t="s">
        <v>3691</v>
      </c>
      <c r="C255" t="s">
        <v>3662</v>
      </c>
      <c r="D255" t="s">
        <v>2552</v>
      </c>
      <c r="E255" t="s">
        <v>1537</v>
      </c>
      <c r="F255" t="s">
        <v>1517</v>
      </c>
      <c r="G255" t="s">
        <v>3701</v>
      </c>
      <c r="H255">
        <v>5</v>
      </c>
      <c r="I255">
        <v>4423.53</v>
      </c>
      <c r="J255">
        <v>22117.65</v>
      </c>
    </row>
    <row r="256" spans="1:10">
      <c r="A256" s="4">
        <v>45049</v>
      </c>
      <c r="B256" t="s">
        <v>3684</v>
      </c>
      <c r="C256" t="s">
        <v>3656</v>
      </c>
      <c r="D256" t="s">
        <v>2550</v>
      </c>
      <c r="E256" t="s">
        <v>1537</v>
      </c>
      <c r="F256" t="s">
        <v>1517</v>
      </c>
      <c r="G256" t="s">
        <v>3701</v>
      </c>
      <c r="H256">
        <v>13</v>
      </c>
      <c r="I256">
        <v>1330.85</v>
      </c>
      <c r="J256">
        <v>17301.05</v>
      </c>
    </row>
    <row r="257" spans="1:10">
      <c r="A257" s="4">
        <v>45168</v>
      </c>
      <c r="B257" t="s">
        <v>3691</v>
      </c>
      <c r="C257" t="s">
        <v>3660</v>
      </c>
      <c r="D257" t="s">
        <v>2549</v>
      </c>
      <c r="E257" t="s">
        <v>1535</v>
      </c>
      <c r="F257" t="s">
        <v>1518</v>
      </c>
      <c r="G257" t="s">
        <v>3696</v>
      </c>
      <c r="H257">
        <v>2</v>
      </c>
      <c r="I257">
        <v>1785.76</v>
      </c>
      <c r="J257">
        <v>3571.52</v>
      </c>
    </row>
    <row r="258" spans="1:10">
      <c r="A258" s="4">
        <v>44948</v>
      </c>
      <c r="B258" t="s">
        <v>3676</v>
      </c>
      <c r="C258" t="s">
        <v>3669</v>
      </c>
      <c r="D258" t="s">
        <v>2551</v>
      </c>
      <c r="E258" t="s">
        <v>1538</v>
      </c>
      <c r="F258" t="s">
        <v>1517</v>
      </c>
      <c r="G258" t="s">
        <v>3699</v>
      </c>
      <c r="H258">
        <v>10</v>
      </c>
      <c r="I258">
        <v>505.39</v>
      </c>
      <c r="J258">
        <v>5053.8999999999996</v>
      </c>
    </row>
    <row r="259" spans="1:10">
      <c r="A259" s="4">
        <v>45255</v>
      </c>
      <c r="B259" t="s">
        <v>3681</v>
      </c>
      <c r="C259" t="s">
        <v>3667</v>
      </c>
      <c r="D259" t="s">
        <v>2552</v>
      </c>
      <c r="E259" t="s">
        <v>1537</v>
      </c>
      <c r="F259" t="s">
        <v>1514</v>
      </c>
      <c r="G259" t="s">
        <v>3697</v>
      </c>
      <c r="H259">
        <v>1</v>
      </c>
      <c r="I259">
        <v>4966.8599999999997</v>
      </c>
      <c r="J259">
        <v>4966.8599999999997</v>
      </c>
    </row>
    <row r="260" spans="1:10">
      <c r="A260" s="4">
        <v>45182</v>
      </c>
      <c r="B260" t="s">
        <v>3676</v>
      </c>
      <c r="C260" t="s">
        <v>3664</v>
      </c>
      <c r="D260" t="s">
        <v>2548</v>
      </c>
      <c r="E260" t="s">
        <v>1535</v>
      </c>
      <c r="F260" t="s">
        <v>1517</v>
      </c>
      <c r="G260" t="s">
        <v>3693</v>
      </c>
      <c r="H260">
        <v>5</v>
      </c>
      <c r="I260">
        <v>4988.76</v>
      </c>
      <c r="J260">
        <v>24943.8</v>
      </c>
    </row>
    <row r="261" spans="1:10">
      <c r="A261" s="4">
        <v>45067</v>
      </c>
      <c r="B261" t="s">
        <v>3683</v>
      </c>
      <c r="C261" t="s">
        <v>3655</v>
      </c>
      <c r="D261" t="s">
        <v>2552</v>
      </c>
      <c r="E261" t="s">
        <v>1537</v>
      </c>
      <c r="F261" t="s">
        <v>1514</v>
      </c>
      <c r="G261" t="s">
        <v>3697</v>
      </c>
      <c r="H261">
        <v>18</v>
      </c>
      <c r="I261">
        <v>1745.63</v>
      </c>
      <c r="J261">
        <v>31421.34</v>
      </c>
    </row>
    <row r="262" spans="1:10">
      <c r="A262" s="4">
        <v>45274</v>
      </c>
      <c r="B262" t="s">
        <v>3676</v>
      </c>
      <c r="C262" t="s">
        <v>3654</v>
      </c>
      <c r="D262" t="s">
        <v>2549</v>
      </c>
      <c r="E262" t="s">
        <v>1535</v>
      </c>
      <c r="F262" t="s">
        <v>1516</v>
      </c>
      <c r="G262" t="s">
        <v>3695</v>
      </c>
      <c r="H262">
        <v>2</v>
      </c>
      <c r="I262">
        <v>3024.56</v>
      </c>
      <c r="J262">
        <v>6049.12</v>
      </c>
    </row>
    <row r="263" spans="1:10">
      <c r="A263" s="4">
        <v>45083</v>
      </c>
      <c r="B263" t="s">
        <v>3688</v>
      </c>
      <c r="C263" t="s">
        <v>3661</v>
      </c>
      <c r="D263" t="s">
        <v>2550</v>
      </c>
      <c r="E263" t="s">
        <v>1537</v>
      </c>
      <c r="F263" t="s">
        <v>1518</v>
      </c>
      <c r="G263" t="s">
        <v>3680</v>
      </c>
      <c r="H263">
        <v>15</v>
      </c>
      <c r="I263">
        <v>4599.74</v>
      </c>
      <c r="J263">
        <v>68996.100000000006</v>
      </c>
    </row>
    <row r="264" spans="1:10">
      <c r="A264" s="4">
        <v>45286</v>
      </c>
      <c r="B264" t="s">
        <v>3676</v>
      </c>
      <c r="C264" t="s">
        <v>3669</v>
      </c>
      <c r="D264" t="s">
        <v>2551</v>
      </c>
      <c r="E264" t="s">
        <v>1538</v>
      </c>
      <c r="F264" t="s">
        <v>3657</v>
      </c>
      <c r="G264" t="s">
        <v>3694</v>
      </c>
      <c r="H264">
        <v>18</v>
      </c>
      <c r="I264">
        <v>330.49</v>
      </c>
      <c r="J264">
        <v>5948.82</v>
      </c>
    </row>
    <row r="265" spans="1:10">
      <c r="A265" s="4">
        <v>45284</v>
      </c>
      <c r="B265" t="s">
        <v>3679</v>
      </c>
      <c r="C265" t="s">
        <v>3662</v>
      </c>
      <c r="D265" t="s">
        <v>2552</v>
      </c>
      <c r="E265" t="s">
        <v>1537</v>
      </c>
      <c r="F265" t="s">
        <v>1516</v>
      </c>
      <c r="G265" t="s">
        <v>3677</v>
      </c>
      <c r="H265">
        <v>8</v>
      </c>
      <c r="I265">
        <v>4775.74</v>
      </c>
      <c r="J265">
        <v>38205.919999999998</v>
      </c>
    </row>
    <row r="266" spans="1:10">
      <c r="A266" s="4">
        <v>45225</v>
      </c>
      <c r="B266" t="s">
        <v>3691</v>
      </c>
      <c r="C266" t="s">
        <v>3664</v>
      </c>
      <c r="D266" t="s">
        <v>2548</v>
      </c>
      <c r="E266" t="s">
        <v>1535</v>
      </c>
      <c r="F266" t="s">
        <v>1518</v>
      </c>
      <c r="G266" t="s">
        <v>3680</v>
      </c>
      <c r="H266">
        <v>16</v>
      </c>
      <c r="I266">
        <v>2329.86</v>
      </c>
      <c r="J266">
        <v>37277.760000000002</v>
      </c>
    </row>
    <row r="267" spans="1:10">
      <c r="A267" s="4">
        <v>45098</v>
      </c>
      <c r="B267" t="s">
        <v>3675</v>
      </c>
      <c r="C267" t="s">
        <v>3663</v>
      </c>
      <c r="D267" t="s">
        <v>2548</v>
      </c>
      <c r="E267" t="s">
        <v>1535</v>
      </c>
      <c r="F267" t="s">
        <v>1514</v>
      </c>
      <c r="G267" t="s">
        <v>3682</v>
      </c>
      <c r="H267">
        <v>16</v>
      </c>
      <c r="I267">
        <v>1426.64</v>
      </c>
      <c r="J267">
        <v>22826.240000000002</v>
      </c>
    </row>
    <row r="268" spans="1:10">
      <c r="A268" s="4">
        <v>45070</v>
      </c>
      <c r="B268" t="s">
        <v>3681</v>
      </c>
      <c r="C268" t="s">
        <v>3664</v>
      </c>
      <c r="D268" t="s">
        <v>2548</v>
      </c>
      <c r="E268" t="s">
        <v>1535</v>
      </c>
      <c r="F268" t="s">
        <v>1516</v>
      </c>
      <c r="G268" t="s">
        <v>3687</v>
      </c>
      <c r="H268">
        <v>8</v>
      </c>
      <c r="I268">
        <v>2663.16</v>
      </c>
      <c r="J268">
        <v>21305.279999999999</v>
      </c>
    </row>
    <row r="269" spans="1:10">
      <c r="A269" s="4">
        <v>44996</v>
      </c>
      <c r="B269" t="s">
        <v>3689</v>
      </c>
      <c r="C269" t="s">
        <v>3663</v>
      </c>
      <c r="D269" t="s">
        <v>2548</v>
      </c>
      <c r="E269" t="s">
        <v>1535</v>
      </c>
      <c r="F269" t="s">
        <v>1516</v>
      </c>
      <c r="G269" t="s">
        <v>3677</v>
      </c>
      <c r="H269">
        <v>20</v>
      </c>
      <c r="I269">
        <v>1690.56</v>
      </c>
      <c r="J269">
        <v>33811.199999999997</v>
      </c>
    </row>
    <row r="270" spans="1:10">
      <c r="A270" s="4">
        <v>44947</v>
      </c>
      <c r="B270" t="s">
        <v>3689</v>
      </c>
      <c r="C270" t="s">
        <v>3665</v>
      </c>
      <c r="D270" t="s">
        <v>2549</v>
      </c>
      <c r="E270" t="s">
        <v>1535</v>
      </c>
      <c r="F270" t="s">
        <v>1516</v>
      </c>
      <c r="G270" t="s">
        <v>3677</v>
      </c>
      <c r="H270">
        <v>1</v>
      </c>
      <c r="I270">
        <v>776.08</v>
      </c>
      <c r="J270">
        <v>776.08</v>
      </c>
    </row>
    <row r="271" spans="1:10">
      <c r="A271" s="4">
        <v>45018</v>
      </c>
      <c r="B271" t="s">
        <v>3675</v>
      </c>
      <c r="C271" t="s">
        <v>3667</v>
      </c>
      <c r="D271" t="s">
        <v>2552</v>
      </c>
      <c r="E271" t="s">
        <v>1537</v>
      </c>
      <c r="F271" t="s">
        <v>3657</v>
      </c>
      <c r="G271" t="s">
        <v>3692</v>
      </c>
      <c r="H271">
        <v>3</v>
      </c>
      <c r="I271">
        <v>1435.01</v>
      </c>
      <c r="J271">
        <v>4305.03</v>
      </c>
    </row>
    <row r="272" spans="1:10">
      <c r="A272" s="4">
        <v>45176</v>
      </c>
      <c r="B272" t="s">
        <v>3679</v>
      </c>
      <c r="C272" t="s">
        <v>3666</v>
      </c>
      <c r="D272" t="s">
        <v>2548</v>
      </c>
      <c r="E272" t="s">
        <v>1535</v>
      </c>
      <c r="F272" t="s">
        <v>1518</v>
      </c>
      <c r="G272" t="s">
        <v>3696</v>
      </c>
      <c r="H272">
        <v>16</v>
      </c>
      <c r="I272">
        <v>1473.98</v>
      </c>
      <c r="J272">
        <v>23583.68</v>
      </c>
    </row>
    <row r="273" spans="1:10">
      <c r="A273" s="4">
        <v>45235</v>
      </c>
      <c r="B273" t="s">
        <v>3689</v>
      </c>
      <c r="C273" t="s">
        <v>3659</v>
      </c>
      <c r="D273" t="s">
        <v>2551</v>
      </c>
      <c r="E273" t="s">
        <v>1538</v>
      </c>
      <c r="F273" t="s">
        <v>1517</v>
      </c>
      <c r="G273" t="s">
        <v>3693</v>
      </c>
      <c r="H273">
        <v>6</v>
      </c>
      <c r="I273">
        <v>1822.86</v>
      </c>
      <c r="J273">
        <v>10937.16</v>
      </c>
    </row>
    <row r="274" spans="1:10">
      <c r="A274" s="4">
        <v>44963</v>
      </c>
      <c r="B274" t="s">
        <v>3689</v>
      </c>
      <c r="C274" t="s">
        <v>3658</v>
      </c>
      <c r="D274" t="s">
        <v>2550</v>
      </c>
      <c r="E274" t="s">
        <v>1537</v>
      </c>
      <c r="F274" t="s">
        <v>1516</v>
      </c>
      <c r="G274" t="s">
        <v>3686</v>
      </c>
      <c r="H274">
        <v>13</v>
      </c>
      <c r="I274">
        <v>739.6</v>
      </c>
      <c r="J274">
        <v>9614.7999999999993</v>
      </c>
    </row>
    <row r="275" spans="1:10">
      <c r="A275" s="4">
        <v>44994</v>
      </c>
      <c r="B275" t="s">
        <v>3683</v>
      </c>
      <c r="C275" t="s">
        <v>3663</v>
      </c>
      <c r="D275" t="s">
        <v>2548</v>
      </c>
      <c r="E275" t="s">
        <v>1535</v>
      </c>
      <c r="F275" t="s">
        <v>3657</v>
      </c>
      <c r="G275" t="s">
        <v>3694</v>
      </c>
      <c r="H275">
        <v>11</v>
      </c>
      <c r="I275">
        <v>4209.66</v>
      </c>
      <c r="J275">
        <v>46306.26</v>
      </c>
    </row>
    <row r="276" spans="1:10">
      <c r="A276" s="4">
        <v>44986</v>
      </c>
      <c r="B276" t="s">
        <v>3675</v>
      </c>
      <c r="C276" t="s">
        <v>3662</v>
      </c>
      <c r="D276" t="s">
        <v>2552</v>
      </c>
      <c r="E276" t="s">
        <v>1537</v>
      </c>
      <c r="F276" t="s">
        <v>1514</v>
      </c>
      <c r="G276" t="s">
        <v>3685</v>
      </c>
      <c r="H276">
        <v>8</v>
      </c>
      <c r="I276">
        <v>4105.17</v>
      </c>
      <c r="J276">
        <v>32841.360000000001</v>
      </c>
    </row>
    <row r="277" spans="1:10">
      <c r="A277" s="4">
        <v>45072</v>
      </c>
      <c r="B277" t="s">
        <v>3683</v>
      </c>
      <c r="C277" t="s">
        <v>3669</v>
      </c>
      <c r="D277" t="s">
        <v>2551</v>
      </c>
      <c r="E277" t="s">
        <v>1538</v>
      </c>
      <c r="F277" t="s">
        <v>1517</v>
      </c>
      <c r="G277" t="s">
        <v>3672</v>
      </c>
      <c r="H277">
        <v>2</v>
      </c>
      <c r="I277">
        <v>4100.3999999999996</v>
      </c>
      <c r="J277">
        <v>8200.7999999999993</v>
      </c>
    </row>
    <row r="278" spans="1:10">
      <c r="A278" s="4">
        <v>45221</v>
      </c>
      <c r="B278" t="s">
        <v>3675</v>
      </c>
      <c r="C278" t="s">
        <v>3661</v>
      </c>
      <c r="D278" t="s">
        <v>2550</v>
      </c>
      <c r="E278" t="s">
        <v>1537</v>
      </c>
      <c r="F278" t="s">
        <v>3657</v>
      </c>
      <c r="G278" t="s">
        <v>3678</v>
      </c>
      <c r="H278">
        <v>20</v>
      </c>
      <c r="I278">
        <v>2295.08</v>
      </c>
      <c r="J278">
        <v>45901.599999999999</v>
      </c>
    </row>
    <row r="279" spans="1:10">
      <c r="A279" s="4">
        <v>45241</v>
      </c>
      <c r="B279" t="s">
        <v>3689</v>
      </c>
      <c r="C279" t="s">
        <v>3654</v>
      </c>
      <c r="D279" t="s">
        <v>2549</v>
      </c>
      <c r="E279" t="s">
        <v>1535</v>
      </c>
      <c r="F279" t="s">
        <v>3657</v>
      </c>
      <c r="G279" t="s">
        <v>3690</v>
      </c>
      <c r="H279">
        <v>20</v>
      </c>
      <c r="I279">
        <v>4970.33</v>
      </c>
      <c r="J279">
        <v>99406.6</v>
      </c>
    </row>
    <row r="280" spans="1:10">
      <c r="A280" s="4">
        <v>45272</v>
      </c>
      <c r="B280" t="s">
        <v>3683</v>
      </c>
      <c r="C280" t="s">
        <v>3664</v>
      </c>
      <c r="D280" t="s">
        <v>2548</v>
      </c>
      <c r="E280" t="s">
        <v>1535</v>
      </c>
      <c r="F280" t="s">
        <v>1517</v>
      </c>
      <c r="G280" t="s">
        <v>3693</v>
      </c>
      <c r="H280">
        <v>12</v>
      </c>
      <c r="I280">
        <v>3939.5</v>
      </c>
      <c r="J280">
        <v>47274</v>
      </c>
    </row>
    <row r="281" spans="1:10">
      <c r="A281" s="4">
        <v>45224</v>
      </c>
      <c r="B281" t="s">
        <v>3684</v>
      </c>
      <c r="C281" t="s">
        <v>3655</v>
      </c>
      <c r="D281" t="s">
        <v>2552</v>
      </c>
      <c r="E281" t="s">
        <v>1537</v>
      </c>
      <c r="F281" t="s">
        <v>1514</v>
      </c>
      <c r="G281" t="s">
        <v>3697</v>
      </c>
      <c r="H281">
        <v>15</v>
      </c>
      <c r="I281">
        <v>1450.75</v>
      </c>
      <c r="J281">
        <v>21761.25</v>
      </c>
    </row>
    <row r="282" spans="1:10">
      <c r="A282" s="4">
        <v>45235</v>
      </c>
      <c r="B282" t="s">
        <v>3684</v>
      </c>
      <c r="C282" t="s">
        <v>3658</v>
      </c>
      <c r="D282" t="s">
        <v>2550</v>
      </c>
      <c r="E282" t="s">
        <v>1537</v>
      </c>
      <c r="F282" t="s">
        <v>1517</v>
      </c>
      <c r="G282" t="s">
        <v>3672</v>
      </c>
      <c r="H282">
        <v>8</v>
      </c>
      <c r="I282">
        <v>3279.33</v>
      </c>
      <c r="J282">
        <v>26234.639999999999</v>
      </c>
    </row>
    <row r="283" spans="1:10">
      <c r="A283" s="4">
        <v>44953</v>
      </c>
      <c r="B283" t="s">
        <v>3689</v>
      </c>
      <c r="C283" t="s">
        <v>3665</v>
      </c>
      <c r="D283" t="s">
        <v>2549</v>
      </c>
      <c r="E283" t="s">
        <v>1535</v>
      </c>
      <c r="F283" t="s">
        <v>1516</v>
      </c>
      <c r="G283" t="s">
        <v>3687</v>
      </c>
      <c r="H283">
        <v>7</v>
      </c>
      <c r="I283">
        <v>579.91999999999996</v>
      </c>
      <c r="J283">
        <v>4059.44</v>
      </c>
    </row>
    <row r="284" spans="1:10">
      <c r="A284" s="4">
        <v>44962</v>
      </c>
      <c r="B284" t="s">
        <v>3684</v>
      </c>
      <c r="C284" t="s">
        <v>3658</v>
      </c>
      <c r="D284" t="s">
        <v>2550</v>
      </c>
      <c r="E284" t="s">
        <v>1537</v>
      </c>
      <c r="F284" t="s">
        <v>1514</v>
      </c>
      <c r="G284" t="s">
        <v>3682</v>
      </c>
      <c r="H284">
        <v>10</v>
      </c>
      <c r="I284">
        <v>2515.54</v>
      </c>
      <c r="J284">
        <v>25155.4</v>
      </c>
    </row>
    <row r="285" spans="1:10">
      <c r="A285" s="4">
        <v>45005</v>
      </c>
      <c r="B285" t="s">
        <v>3679</v>
      </c>
      <c r="C285" t="s">
        <v>3665</v>
      </c>
      <c r="D285" t="s">
        <v>2549</v>
      </c>
      <c r="E285" t="s">
        <v>1535</v>
      </c>
      <c r="F285" t="s">
        <v>3657</v>
      </c>
      <c r="G285" t="s">
        <v>3690</v>
      </c>
      <c r="H285">
        <v>10</v>
      </c>
      <c r="I285">
        <v>2976.69</v>
      </c>
      <c r="J285">
        <v>29766.9</v>
      </c>
    </row>
    <row r="286" spans="1:10">
      <c r="A286" s="4">
        <v>45044</v>
      </c>
      <c r="B286" t="s">
        <v>3679</v>
      </c>
      <c r="C286" t="s">
        <v>3661</v>
      </c>
      <c r="D286" t="s">
        <v>2550</v>
      </c>
      <c r="E286" t="s">
        <v>1537</v>
      </c>
      <c r="F286" t="s">
        <v>3657</v>
      </c>
      <c r="G286" t="s">
        <v>3694</v>
      </c>
      <c r="H286">
        <v>16</v>
      </c>
      <c r="I286">
        <v>4047.21</v>
      </c>
      <c r="J286">
        <v>64755.360000000001</v>
      </c>
    </row>
    <row r="287" spans="1:10">
      <c r="A287" s="4">
        <v>45026</v>
      </c>
      <c r="B287" t="s">
        <v>3681</v>
      </c>
      <c r="C287" t="s">
        <v>3666</v>
      </c>
      <c r="D287" t="s">
        <v>2548</v>
      </c>
      <c r="E287" t="s">
        <v>1535</v>
      </c>
      <c r="F287" t="s">
        <v>3657</v>
      </c>
      <c r="G287" t="s">
        <v>3692</v>
      </c>
      <c r="H287">
        <v>18</v>
      </c>
      <c r="I287">
        <v>2825.07</v>
      </c>
      <c r="J287">
        <v>50851.26</v>
      </c>
    </row>
    <row r="288" spans="1:10">
      <c r="A288" s="4">
        <v>45067</v>
      </c>
      <c r="B288" t="s">
        <v>3683</v>
      </c>
      <c r="C288" t="s">
        <v>3656</v>
      </c>
      <c r="D288" t="s">
        <v>2550</v>
      </c>
      <c r="E288" t="s">
        <v>1537</v>
      </c>
      <c r="F288" t="s">
        <v>1516</v>
      </c>
      <c r="G288" t="s">
        <v>3695</v>
      </c>
      <c r="H288">
        <v>13</v>
      </c>
      <c r="I288">
        <v>1406.82</v>
      </c>
      <c r="J288">
        <v>18288.66</v>
      </c>
    </row>
    <row r="289" spans="1:10">
      <c r="A289" s="4">
        <v>45038</v>
      </c>
      <c r="B289" t="s">
        <v>3691</v>
      </c>
      <c r="C289" t="s">
        <v>3660</v>
      </c>
      <c r="D289" t="s">
        <v>2549</v>
      </c>
      <c r="E289" t="s">
        <v>1535</v>
      </c>
      <c r="F289" t="s">
        <v>1518</v>
      </c>
      <c r="G289" t="s">
        <v>3700</v>
      </c>
      <c r="H289">
        <v>16</v>
      </c>
      <c r="I289">
        <v>1090.18</v>
      </c>
      <c r="J289">
        <v>17442.88</v>
      </c>
    </row>
    <row r="290" spans="1:10">
      <c r="A290" s="4">
        <v>44960</v>
      </c>
      <c r="B290" t="s">
        <v>3688</v>
      </c>
      <c r="C290" t="s">
        <v>3659</v>
      </c>
      <c r="D290" t="s">
        <v>2551</v>
      </c>
      <c r="E290" t="s">
        <v>1538</v>
      </c>
      <c r="F290" t="s">
        <v>1514</v>
      </c>
      <c r="G290" t="s">
        <v>3697</v>
      </c>
      <c r="H290">
        <v>12</v>
      </c>
      <c r="I290">
        <v>3696.43</v>
      </c>
      <c r="J290">
        <v>44357.16</v>
      </c>
    </row>
    <row r="291" spans="1:10">
      <c r="A291" s="4">
        <v>45239</v>
      </c>
      <c r="B291" t="s">
        <v>3679</v>
      </c>
      <c r="C291" t="s">
        <v>3662</v>
      </c>
      <c r="D291" t="s">
        <v>2552</v>
      </c>
      <c r="E291" t="s">
        <v>1537</v>
      </c>
      <c r="F291" t="s">
        <v>1514</v>
      </c>
      <c r="G291" t="s">
        <v>3697</v>
      </c>
      <c r="H291">
        <v>7</v>
      </c>
      <c r="I291">
        <v>4535.1400000000003</v>
      </c>
      <c r="J291">
        <v>31745.98</v>
      </c>
    </row>
    <row r="292" spans="1:10">
      <c r="A292" s="4">
        <v>45232</v>
      </c>
      <c r="B292" t="s">
        <v>3681</v>
      </c>
      <c r="C292" t="s">
        <v>3661</v>
      </c>
      <c r="D292" t="s">
        <v>2550</v>
      </c>
      <c r="E292" t="s">
        <v>1537</v>
      </c>
      <c r="F292" t="s">
        <v>3657</v>
      </c>
      <c r="G292" t="s">
        <v>3694</v>
      </c>
      <c r="H292">
        <v>3</v>
      </c>
      <c r="I292">
        <v>4931.6899999999996</v>
      </c>
      <c r="J292">
        <v>14795.07</v>
      </c>
    </row>
    <row r="293" spans="1:10">
      <c r="A293" s="4">
        <v>45037</v>
      </c>
      <c r="B293" t="s">
        <v>3691</v>
      </c>
      <c r="C293" t="s">
        <v>3668</v>
      </c>
      <c r="D293" t="s">
        <v>2551</v>
      </c>
      <c r="E293" t="s">
        <v>1538</v>
      </c>
      <c r="F293" t="s">
        <v>3657</v>
      </c>
      <c r="G293" t="s">
        <v>3678</v>
      </c>
      <c r="H293">
        <v>16</v>
      </c>
      <c r="I293">
        <v>3263.65</v>
      </c>
      <c r="J293">
        <v>52218.400000000001</v>
      </c>
    </row>
    <row r="294" spans="1:10">
      <c r="A294" s="4">
        <v>45046</v>
      </c>
      <c r="B294" t="s">
        <v>3676</v>
      </c>
      <c r="C294" t="s">
        <v>3654</v>
      </c>
      <c r="D294" t="s">
        <v>2549</v>
      </c>
      <c r="E294" t="s">
        <v>1535</v>
      </c>
      <c r="F294" t="s">
        <v>1518</v>
      </c>
      <c r="G294" t="s">
        <v>3696</v>
      </c>
      <c r="H294">
        <v>17</v>
      </c>
      <c r="I294">
        <v>4083.07</v>
      </c>
      <c r="J294">
        <v>69412.19</v>
      </c>
    </row>
    <row r="295" spans="1:10">
      <c r="A295" s="4">
        <v>44975</v>
      </c>
      <c r="B295" t="s">
        <v>3684</v>
      </c>
      <c r="C295" t="s">
        <v>3665</v>
      </c>
      <c r="D295" t="s">
        <v>2549</v>
      </c>
      <c r="E295" t="s">
        <v>1535</v>
      </c>
      <c r="F295" t="s">
        <v>1518</v>
      </c>
      <c r="G295" t="s">
        <v>3674</v>
      </c>
      <c r="H295">
        <v>12</v>
      </c>
      <c r="I295">
        <v>528.69000000000005</v>
      </c>
      <c r="J295">
        <v>6344.28</v>
      </c>
    </row>
    <row r="296" spans="1:10">
      <c r="A296" s="4">
        <v>45142</v>
      </c>
      <c r="B296" t="s">
        <v>3689</v>
      </c>
      <c r="C296" t="s">
        <v>3658</v>
      </c>
      <c r="D296" t="s">
        <v>2550</v>
      </c>
      <c r="E296" t="s">
        <v>1537</v>
      </c>
      <c r="F296" t="s">
        <v>1514</v>
      </c>
      <c r="G296" t="s">
        <v>3698</v>
      </c>
      <c r="H296">
        <v>8</v>
      </c>
      <c r="I296">
        <v>528.92999999999995</v>
      </c>
      <c r="J296">
        <v>4231.4399999999996</v>
      </c>
    </row>
    <row r="297" spans="1:10">
      <c r="A297" s="4">
        <v>45150</v>
      </c>
      <c r="B297" t="s">
        <v>3673</v>
      </c>
      <c r="C297" t="s">
        <v>3654</v>
      </c>
      <c r="D297" t="s">
        <v>2549</v>
      </c>
      <c r="E297" t="s">
        <v>1535</v>
      </c>
      <c r="F297" t="s">
        <v>3657</v>
      </c>
      <c r="G297" t="s">
        <v>3678</v>
      </c>
      <c r="H297">
        <v>11</v>
      </c>
      <c r="I297">
        <v>1749.31</v>
      </c>
      <c r="J297">
        <v>19242.41</v>
      </c>
    </row>
    <row r="298" spans="1:10">
      <c r="A298" s="4">
        <v>45262</v>
      </c>
      <c r="B298" t="s">
        <v>3673</v>
      </c>
      <c r="C298" t="s">
        <v>3660</v>
      </c>
      <c r="D298" t="s">
        <v>2549</v>
      </c>
      <c r="E298" t="s">
        <v>1535</v>
      </c>
      <c r="F298" t="s">
        <v>1518</v>
      </c>
      <c r="G298" t="s">
        <v>3674</v>
      </c>
      <c r="H298">
        <v>11</v>
      </c>
      <c r="I298">
        <v>2635.95</v>
      </c>
      <c r="J298">
        <v>28995.45</v>
      </c>
    </row>
    <row r="299" spans="1:10">
      <c r="A299" s="4">
        <v>45275</v>
      </c>
      <c r="B299" t="s">
        <v>3683</v>
      </c>
      <c r="C299" t="s">
        <v>3660</v>
      </c>
      <c r="D299" t="s">
        <v>2549</v>
      </c>
      <c r="E299" t="s">
        <v>1535</v>
      </c>
      <c r="F299" t="s">
        <v>3657</v>
      </c>
      <c r="G299" t="s">
        <v>3678</v>
      </c>
      <c r="H299">
        <v>6</v>
      </c>
      <c r="I299">
        <v>2850.31</v>
      </c>
      <c r="J299">
        <v>17101.86</v>
      </c>
    </row>
    <row r="300" spans="1:10">
      <c r="A300" s="4">
        <v>45029</v>
      </c>
      <c r="B300" t="s">
        <v>3691</v>
      </c>
      <c r="C300" t="s">
        <v>3667</v>
      </c>
      <c r="D300" t="s">
        <v>2552</v>
      </c>
      <c r="E300" t="s">
        <v>1537</v>
      </c>
      <c r="F300" t="s">
        <v>1514</v>
      </c>
      <c r="G300" t="s">
        <v>3685</v>
      </c>
      <c r="H300">
        <v>5</v>
      </c>
      <c r="I300">
        <v>1413.03</v>
      </c>
      <c r="J300">
        <v>7065.15</v>
      </c>
    </row>
    <row r="301" spans="1:10">
      <c r="A301" s="4">
        <v>45291</v>
      </c>
      <c r="B301" t="s">
        <v>3681</v>
      </c>
      <c r="C301" t="s">
        <v>3665</v>
      </c>
      <c r="D301" t="s">
        <v>2549</v>
      </c>
      <c r="E301" t="s">
        <v>1535</v>
      </c>
      <c r="F301" t="s">
        <v>1514</v>
      </c>
      <c r="G301" t="s">
        <v>3697</v>
      </c>
      <c r="H301">
        <v>14</v>
      </c>
      <c r="I301">
        <v>4541.87</v>
      </c>
      <c r="J301">
        <v>63586.18</v>
      </c>
    </row>
    <row r="302" spans="1:10">
      <c r="A302" s="4">
        <v>45076</v>
      </c>
      <c r="B302" t="s">
        <v>3681</v>
      </c>
      <c r="C302" t="s">
        <v>3669</v>
      </c>
      <c r="D302" t="s">
        <v>2551</v>
      </c>
      <c r="E302" t="s">
        <v>1538</v>
      </c>
      <c r="F302" t="s">
        <v>1516</v>
      </c>
      <c r="G302" t="s">
        <v>3687</v>
      </c>
      <c r="H302">
        <v>5</v>
      </c>
      <c r="I302">
        <v>3395.71</v>
      </c>
      <c r="J302">
        <v>16978.55</v>
      </c>
    </row>
    <row r="303" spans="1:10">
      <c r="A303" s="4">
        <v>45237</v>
      </c>
      <c r="B303" t="s">
        <v>3679</v>
      </c>
      <c r="C303" t="s">
        <v>3663</v>
      </c>
      <c r="D303" t="s">
        <v>2548</v>
      </c>
      <c r="E303" t="s">
        <v>1535</v>
      </c>
      <c r="F303" t="s">
        <v>1518</v>
      </c>
      <c r="G303" t="s">
        <v>3696</v>
      </c>
      <c r="H303">
        <v>2</v>
      </c>
      <c r="I303">
        <v>4050.46</v>
      </c>
      <c r="J303">
        <v>8100.92</v>
      </c>
    </row>
    <row r="304" spans="1:10">
      <c r="A304" s="4">
        <v>45141</v>
      </c>
      <c r="B304" t="s">
        <v>3688</v>
      </c>
      <c r="C304" t="s">
        <v>3664</v>
      </c>
      <c r="D304" t="s">
        <v>2548</v>
      </c>
      <c r="E304" t="s">
        <v>1535</v>
      </c>
      <c r="F304" t="s">
        <v>1516</v>
      </c>
      <c r="G304" t="s">
        <v>3677</v>
      </c>
      <c r="H304">
        <v>6</v>
      </c>
      <c r="I304">
        <v>3617.81</v>
      </c>
      <c r="J304">
        <v>21706.86</v>
      </c>
    </row>
    <row r="305" spans="1:10">
      <c r="A305" s="4">
        <v>45158</v>
      </c>
      <c r="B305" t="s">
        <v>3679</v>
      </c>
      <c r="C305" t="s">
        <v>3661</v>
      </c>
      <c r="D305" t="s">
        <v>2550</v>
      </c>
      <c r="E305" t="s">
        <v>1537</v>
      </c>
      <c r="F305" t="s">
        <v>3657</v>
      </c>
      <c r="G305" t="s">
        <v>3690</v>
      </c>
      <c r="H305">
        <v>11</v>
      </c>
      <c r="I305">
        <v>1527.71</v>
      </c>
      <c r="J305">
        <v>16804.810000000001</v>
      </c>
    </row>
    <row r="306" spans="1:10">
      <c r="A306" s="4">
        <v>44963</v>
      </c>
      <c r="B306" t="s">
        <v>3688</v>
      </c>
      <c r="C306" t="s">
        <v>3659</v>
      </c>
      <c r="D306" t="s">
        <v>2551</v>
      </c>
      <c r="E306" t="s">
        <v>1538</v>
      </c>
      <c r="F306" t="s">
        <v>1514</v>
      </c>
      <c r="G306" t="s">
        <v>3698</v>
      </c>
      <c r="H306">
        <v>7</v>
      </c>
      <c r="I306">
        <v>1420.32</v>
      </c>
      <c r="J306">
        <v>9942.24</v>
      </c>
    </row>
    <row r="307" spans="1:10">
      <c r="A307" s="4">
        <v>44952</v>
      </c>
      <c r="B307" t="s">
        <v>3681</v>
      </c>
      <c r="C307" t="s">
        <v>3658</v>
      </c>
      <c r="D307" t="s">
        <v>2550</v>
      </c>
      <c r="E307" t="s">
        <v>1537</v>
      </c>
      <c r="F307" t="s">
        <v>1514</v>
      </c>
      <c r="G307" t="s">
        <v>3682</v>
      </c>
      <c r="H307">
        <v>17</v>
      </c>
      <c r="I307">
        <v>1336.86</v>
      </c>
      <c r="J307">
        <v>22726.62</v>
      </c>
    </row>
    <row r="308" spans="1:10">
      <c r="A308" s="4">
        <v>44936</v>
      </c>
      <c r="B308" t="s">
        <v>3673</v>
      </c>
      <c r="C308" t="s">
        <v>3664</v>
      </c>
      <c r="D308" t="s">
        <v>2548</v>
      </c>
      <c r="E308" t="s">
        <v>1535</v>
      </c>
      <c r="F308" t="s">
        <v>1516</v>
      </c>
      <c r="G308" t="s">
        <v>3677</v>
      </c>
      <c r="H308">
        <v>15</v>
      </c>
      <c r="I308">
        <v>359.4</v>
      </c>
      <c r="J308">
        <v>5391</v>
      </c>
    </row>
    <row r="309" spans="1:10">
      <c r="A309" s="4">
        <v>45192</v>
      </c>
      <c r="B309" t="s">
        <v>3689</v>
      </c>
      <c r="C309" t="s">
        <v>3659</v>
      </c>
      <c r="D309" t="s">
        <v>2551</v>
      </c>
      <c r="E309" t="s">
        <v>1538</v>
      </c>
      <c r="F309" t="s">
        <v>1517</v>
      </c>
      <c r="G309" t="s">
        <v>3701</v>
      </c>
      <c r="H309">
        <v>6</v>
      </c>
      <c r="I309">
        <v>4109.0200000000004</v>
      </c>
      <c r="J309">
        <v>24654.12</v>
      </c>
    </row>
    <row r="310" spans="1:10">
      <c r="A310" s="4">
        <v>44965</v>
      </c>
      <c r="B310" t="s">
        <v>3676</v>
      </c>
      <c r="C310" t="s">
        <v>3667</v>
      </c>
      <c r="D310" t="s">
        <v>2552</v>
      </c>
      <c r="E310" t="s">
        <v>1537</v>
      </c>
      <c r="F310" t="s">
        <v>1517</v>
      </c>
      <c r="G310" t="s">
        <v>3672</v>
      </c>
      <c r="H310">
        <v>12</v>
      </c>
      <c r="I310">
        <v>3700.23</v>
      </c>
      <c r="J310">
        <v>44402.76</v>
      </c>
    </row>
    <row r="311" spans="1:10">
      <c r="A311" s="4">
        <v>45015</v>
      </c>
      <c r="B311" t="s">
        <v>3679</v>
      </c>
      <c r="C311" t="s">
        <v>3658</v>
      </c>
      <c r="D311" t="s">
        <v>2550</v>
      </c>
      <c r="E311" t="s">
        <v>1537</v>
      </c>
      <c r="F311" t="s">
        <v>1517</v>
      </c>
      <c r="G311" t="s">
        <v>3701</v>
      </c>
      <c r="H311">
        <v>5</v>
      </c>
      <c r="I311">
        <v>221.41</v>
      </c>
      <c r="J311">
        <v>1107.05</v>
      </c>
    </row>
    <row r="312" spans="1:10">
      <c r="A312" s="4">
        <v>45075</v>
      </c>
      <c r="B312" t="s">
        <v>3689</v>
      </c>
      <c r="C312" t="s">
        <v>3662</v>
      </c>
      <c r="D312" t="s">
        <v>2552</v>
      </c>
      <c r="E312" t="s">
        <v>1537</v>
      </c>
      <c r="F312" t="s">
        <v>1516</v>
      </c>
      <c r="G312" t="s">
        <v>3677</v>
      </c>
      <c r="H312">
        <v>12</v>
      </c>
      <c r="I312">
        <v>4446.1499999999996</v>
      </c>
      <c r="J312">
        <v>53353.8</v>
      </c>
    </row>
    <row r="313" spans="1:10">
      <c r="A313" s="4">
        <v>45115</v>
      </c>
      <c r="B313" t="s">
        <v>3681</v>
      </c>
      <c r="C313" t="s">
        <v>3662</v>
      </c>
      <c r="D313" t="s">
        <v>2552</v>
      </c>
      <c r="E313" t="s">
        <v>1537</v>
      </c>
      <c r="F313" t="s">
        <v>3657</v>
      </c>
      <c r="G313" t="s">
        <v>3678</v>
      </c>
      <c r="H313">
        <v>12</v>
      </c>
      <c r="I313">
        <v>2393.9699999999998</v>
      </c>
      <c r="J313">
        <v>28727.64</v>
      </c>
    </row>
    <row r="314" spans="1:10">
      <c r="A314" s="4">
        <v>45089</v>
      </c>
      <c r="B314" t="s">
        <v>3683</v>
      </c>
      <c r="C314" t="s">
        <v>3669</v>
      </c>
      <c r="D314" t="s">
        <v>2551</v>
      </c>
      <c r="E314" t="s">
        <v>1538</v>
      </c>
      <c r="F314" t="s">
        <v>3657</v>
      </c>
      <c r="G314" t="s">
        <v>3692</v>
      </c>
      <c r="H314">
        <v>7</v>
      </c>
      <c r="I314">
        <v>256.57</v>
      </c>
      <c r="J314">
        <v>1795.99</v>
      </c>
    </row>
    <row r="315" spans="1:10">
      <c r="A315" s="4">
        <v>45071</v>
      </c>
      <c r="B315" t="s">
        <v>3689</v>
      </c>
      <c r="C315" t="s">
        <v>3656</v>
      </c>
      <c r="D315" t="s">
        <v>2550</v>
      </c>
      <c r="E315" t="s">
        <v>1537</v>
      </c>
      <c r="F315" t="s">
        <v>1516</v>
      </c>
      <c r="G315" t="s">
        <v>3695</v>
      </c>
      <c r="H315">
        <v>9</v>
      </c>
      <c r="I315">
        <v>4218.3599999999997</v>
      </c>
      <c r="J315">
        <v>37965.24</v>
      </c>
    </row>
    <row r="316" spans="1:10">
      <c r="A316" s="4">
        <v>45121</v>
      </c>
      <c r="B316" t="s">
        <v>3681</v>
      </c>
      <c r="C316" t="s">
        <v>3669</v>
      </c>
      <c r="D316" t="s">
        <v>2551</v>
      </c>
      <c r="E316" t="s">
        <v>1538</v>
      </c>
      <c r="F316" t="s">
        <v>1516</v>
      </c>
      <c r="G316" t="s">
        <v>3686</v>
      </c>
      <c r="H316">
        <v>8</v>
      </c>
      <c r="I316">
        <v>4930.67</v>
      </c>
      <c r="J316">
        <v>39445.360000000001</v>
      </c>
    </row>
    <row r="317" spans="1:10">
      <c r="A317" s="4">
        <v>45186</v>
      </c>
      <c r="B317" t="s">
        <v>3675</v>
      </c>
      <c r="C317" t="s">
        <v>3658</v>
      </c>
      <c r="D317" t="s">
        <v>2550</v>
      </c>
      <c r="E317" t="s">
        <v>1537</v>
      </c>
      <c r="F317" t="s">
        <v>1516</v>
      </c>
      <c r="G317" t="s">
        <v>3686</v>
      </c>
      <c r="H317">
        <v>2</v>
      </c>
      <c r="I317">
        <v>1264.68</v>
      </c>
      <c r="J317">
        <v>2529.36</v>
      </c>
    </row>
    <row r="318" spans="1:10">
      <c r="A318" s="4">
        <v>45084</v>
      </c>
      <c r="B318" t="s">
        <v>3673</v>
      </c>
      <c r="C318" t="s">
        <v>3665</v>
      </c>
      <c r="D318" t="s">
        <v>2549</v>
      </c>
      <c r="E318" t="s">
        <v>1535</v>
      </c>
      <c r="F318" t="s">
        <v>1518</v>
      </c>
      <c r="G318" t="s">
        <v>3680</v>
      </c>
      <c r="H318">
        <v>16</v>
      </c>
      <c r="I318">
        <v>2192.7399999999998</v>
      </c>
      <c r="J318">
        <v>35083.839999999997</v>
      </c>
    </row>
    <row r="319" spans="1:10">
      <c r="A319" s="4">
        <v>45258</v>
      </c>
      <c r="B319" t="s">
        <v>3675</v>
      </c>
      <c r="C319" t="s">
        <v>3665</v>
      </c>
      <c r="D319" t="s">
        <v>2549</v>
      </c>
      <c r="E319" t="s">
        <v>1535</v>
      </c>
      <c r="F319" t="s">
        <v>3657</v>
      </c>
      <c r="G319" t="s">
        <v>3690</v>
      </c>
      <c r="H319">
        <v>14</v>
      </c>
      <c r="I319">
        <v>3943.42</v>
      </c>
      <c r="J319">
        <v>55207.88</v>
      </c>
    </row>
    <row r="320" spans="1:10">
      <c r="A320" s="4">
        <v>45172</v>
      </c>
      <c r="B320" t="s">
        <v>3688</v>
      </c>
      <c r="C320" t="s">
        <v>3666</v>
      </c>
      <c r="D320" t="s">
        <v>2548</v>
      </c>
      <c r="E320" t="s">
        <v>1535</v>
      </c>
      <c r="F320" t="s">
        <v>3657</v>
      </c>
      <c r="G320" t="s">
        <v>3694</v>
      </c>
      <c r="H320">
        <v>11</v>
      </c>
      <c r="I320">
        <v>2951.18</v>
      </c>
      <c r="J320">
        <v>32462.98</v>
      </c>
    </row>
    <row r="321" spans="1:10">
      <c r="A321" s="4">
        <v>45216</v>
      </c>
      <c r="B321" t="s">
        <v>3684</v>
      </c>
      <c r="C321" t="s">
        <v>3658</v>
      </c>
      <c r="D321" t="s">
        <v>2550</v>
      </c>
      <c r="E321" t="s">
        <v>1537</v>
      </c>
      <c r="F321" t="s">
        <v>3657</v>
      </c>
      <c r="G321" t="s">
        <v>3692</v>
      </c>
      <c r="H321">
        <v>11</v>
      </c>
      <c r="I321">
        <v>4325.83</v>
      </c>
      <c r="J321">
        <v>47584.13</v>
      </c>
    </row>
    <row r="322" spans="1:10">
      <c r="A322" s="4">
        <v>45033</v>
      </c>
      <c r="B322" t="s">
        <v>3684</v>
      </c>
      <c r="C322" t="s">
        <v>3666</v>
      </c>
      <c r="D322" t="s">
        <v>2548</v>
      </c>
      <c r="E322" t="s">
        <v>1535</v>
      </c>
      <c r="F322" t="s">
        <v>1514</v>
      </c>
      <c r="G322" t="s">
        <v>3698</v>
      </c>
      <c r="H322">
        <v>2</v>
      </c>
      <c r="I322">
        <v>1417.87</v>
      </c>
      <c r="J322">
        <v>2835.74</v>
      </c>
    </row>
    <row r="323" spans="1:10">
      <c r="A323" s="4">
        <v>45219</v>
      </c>
      <c r="B323" t="s">
        <v>3684</v>
      </c>
      <c r="C323" t="s">
        <v>3654</v>
      </c>
      <c r="D323" t="s">
        <v>2549</v>
      </c>
      <c r="E323" t="s">
        <v>1535</v>
      </c>
      <c r="F323" t="s">
        <v>1518</v>
      </c>
      <c r="G323" t="s">
        <v>3674</v>
      </c>
      <c r="H323">
        <v>13</v>
      </c>
      <c r="I323">
        <v>2511.64</v>
      </c>
      <c r="J323">
        <v>32651.32</v>
      </c>
    </row>
    <row r="324" spans="1:10">
      <c r="A324" s="4">
        <v>45047</v>
      </c>
      <c r="B324" t="s">
        <v>3688</v>
      </c>
      <c r="C324" t="s">
        <v>3654</v>
      </c>
      <c r="D324" t="s">
        <v>2549</v>
      </c>
      <c r="E324" t="s">
        <v>1535</v>
      </c>
      <c r="F324" t="s">
        <v>1517</v>
      </c>
      <c r="G324" t="s">
        <v>3672</v>
      </c>
      <c r="H324">
        <v>7</v>
      </c>
      <c r="I324">
        <v>862.76</v>
      </c>
      <c r="J324">
        <v>6039.32</v>
      </c>
    </row>
    <row r="325" spans="1:10">
      <c r="A325" s="4">
        <v>45200</v>
      </c>
      <c r="B325" t="s">
        <v>3675</v>
      </c>
      <c r="C325" t="s">
        <v>3655</v>
      </c>
      <c r="D325" t="s">
        <v>2552</v>
      </c>
      <c r="E325" t="s">
        <v>1537</v>
      </c>
      <c r="F325" t="s">
        <v>1516</v>
      </c>
      <c r="G325" t="s">
        <v>3695</v>
      </c>
      <c r="H325">
        <v>18</v>
      </c>
      <c r="I325">
        <v>1412.15</v>
      </c>
      <c r="J325">
        <v>25418.7</v>
      </c>
    </row>
    <row r="326" spans="1:10">
      <c r="A326" s="4">
        <v>44938</v>
      </c>
      <c r="B326" t="s">
        <v>3688</v>
      </c>
      <c r="C326" t="s">
        <v>3664</v>
      </c>
      <c r="D326" t="s">
        <v>2548</v>
      </c>
      <c r="E326" t="s">
        <v>1535</v>
      </c>
      <c r="F326" t="s">
        <v>1518</v>
      </c>
      <c r="G326" t="s">
        <v>3674</v>
      </c>
      <c r="H326">
        <v>6</v>
      </c>
      <c r="I326">
        <v>3295.29</v>
      </c>
      <c r="J326">
        <v>19771.740000000002</v>
      </c>
    </row>
    <row r="327" spans="1:10">
      <c r="A327" s="4">
        <v>45120</v>
      </c>
      <c r="B327" t="s">
        <v>3691</v>
      </c>
      <c r="C327" t="s">
        <v>3661</v>
      </c>
      <c r="D327" t="s">
        <v>2550</v>
      </c>
      <c r="E327" t="s">
        <v>1537</v>
      </c>
      <c r="F327" t="s">
        <v>1518</v>
      </c>
      <c r="G327" t="s">
        <v>3696</v>
      </c>
      <c r="H327">
        <v>18</v>
      </c>
      <c r="I327">
        <v>4132.6899999999996</v>
      </c>
      <c r="J327">
        <v>74388.42</v>
      </c>
    </row>
    <row r="328" spans="1:10">
      <c r="A328" s="4">
        <v>45208</v>
      </c>
      <c r="B328" t="s">
        <v>3676</v>
      </c>
      <c r="C328" t="s">
        <v>3658</v>
      </c>
      <c r="D328" t="s">
        <v>2550</v>
      </c>
      <c r="E328" t="s">
        <v>1537</v>
      </c>
      <c r="F328" t="s">
        <v>1514</v>
      </c>
      <c r="G328" t="s">
        <v>3697</v>
      </c>
      <c r="H328">
        <v>7</v>
      </c>
      <c r="I328">
        <v>1557.83</v>
      </c>
      <c r="J328">
        <v>10904.81</v>
      </c>
    </row>
    <row r="329" spans="1:10">
      <c r="A329" s="4">
        <v>45280</v>
      </c>
      <c r="B329" t="s">
        <v>3689</v>
      </c>
      <c r="C329" t="s">
        <v>3669</v>
      </c>
      <c r="D329" t="s">
        <v>2551</v>
      </c>
      <c r="E329" t="s">
        <v>1538</v>
      </c>
      <c r="F329" t="s">
        <v>1518</v>
      </c>
      <c r="G329" t="s">
        <v>3680</v>
      </c>
      <c r="H329">
        <v>7</v>
      </c>
      <c r="I329">
        <v>4673.3100000000004</v>
      </c>
      <c r="J329">
        <v>32713.17</v>
      </c>
    </row>
    <row r="330" spans="1:10">
      <c r="A330" s="4">
        <v>45002</v>
      </c>
      <c r="B330" t="s">
        <v>3676</v>
      </c>
      <c r="C330" t="s">
        <v>3654</v>
      </c>
      <c r="D330" t="s">
        <v>2549</v>
      </c>
      <c r="E330" t="s">
        <v>1535</v>
      </c>
      <c r="F330" t="s">
        <v>3657</v>
      </c>
      <c r="G330" t="s">
        <v>3694</v>
      </c>
      <c r="H330">
        <v>5</v>
      </c>
      <c r="I330">
        <v>3775.72</v>
      </c>
      <c r="J330">
        <v>18878.599999999999</v>
      </c>
    </row>
    <row r="331" spans="1:10">
      <c r="A331" s="4">
        <v>45228</v>
      </c>
      <c r="B331" t="s">
        <v>3688</v>
      </c>
      <c r="C331" t="s">
        <v>3654</v>
      </c>
      <c r="D331" t="s">
        <v>2549</v>
      </c>
      <c r="E331" t="s">
        <v>1535</v>
      </c>
      <c r="F331" t="s">
        <v>1517</v>
      </c>
      <c r="G331" t="s">
        <v>3693</v>
      </c>
      <c r="H331">
        <v>6</v>
      </c>
      <c r="I331">
        <v>3524.48</v>
      </c>
      <c r="J331">
        <v>21146.880000000001</v>
      </c>
    </row>
    <row r="332" spans="1:10">
      <c r="A332" s="4">
        <v>45243</v>
      </c>
      <c r="B332" t="s">
        <v>3679</v>
      </c>
      <c r="C332" t="s">
        <v>3666</v>
      </c>
      <c r="D332" t="s">
        <v>2548</v>
      </c>
      <c r="E332" t="s">
        <v>1535</v>
      </c>
      <c r="F332" t="s">
        <v>1514</v>
      </c>
      <c r="G332" t="s">
        <v>3685</v>
      </c>
      <c r="H332">
        <v>1</v>
      </c>
      <c r="I332">
        <v>2961.1</v>
      </c>
      <c r="J332">
        <v>2961.1</v>
      </c>
    </row>
    <row r="333" spans="1:10">
      <c r="A333" s="4">
        <v>45017</v>
      </c>
      <c r="B333" t="s">
        <v>3676</v>
      </c>
      <c r="C333" t="s">
        <v>3667</v>
      </c>
      <c r="D333" t="s">
        <v>2552</v>
      </c>
      <c r="E333" t="s">
        <v>1537</v>
      </c>
      <c r="F333" t="s">
        <v>1518</v>
      </c>
      <c r="G333" t="s">
        <v>3700</v>
      </c>
      <c r="H333">
        <v>13</v>
      </c>
      <c r="I333">
        <v>513.05999999999995</v>
      </c>
      <c r="J333">
        <v>6669.78</v>
      </c>
    </row>
    <row r="334" spans="1:10">
      <c r="A334" s="4">
        <v>45064</v>
      </c>
      <c r="B334" t="s">
        <v>3676</v>
      </c>
      <c r="C334" t="s">
        <v>3667</v>
      </c>
      <c r="D334" t="s">
        <v>2552</v>
      </c>
      <c r="E334" t="s">
        <v>1537</v>
      </c>
      <c r="F334" t="s">
        <v>1517</v>
      </c>
      <c r="G334" t="s">
        <v>3699</v>
      </c>
      <c r="H334">
        <v>3</v>
      </c>
      <c r="I334">
        <v>953.26</v>
      </c>
      <c r="J334">
        <v>2859.78</v>
      </c>
    </row>
    <row r="335" spans="1:10">
      <c r="A335" s="4">
        <v>44971</v>
      </c>
      <c r="B335" t="s">
        <v>3673</v>
      </c>
      <c r="C335" t="s">
        <v>3668</v>
      </c>
      <c r="D335" t="s">
        <v>2551</v>
      </c>
      <c r="E335" t="s">
        <v>1538</v>
      </c>
      <c r="F335" t="s">
        <v>1518</v>
      </c>
      <c r="G335" t="s">
        <v>3680</v>
      </c>
      <c r="H335">
        <v>2</v>
      </c>
      <c r="I335">
        <v>1189.6500000000001</v>
      </c>
      <c r="J335">
        <v>2379.3000000000002</v>
      </c>
    </row>
    <row r="336" spans="1:10">
      <c r="A336" s="4">
        <v>45108</v>
      </c>
      <c r="B336" t="s">
        <v>3689</v>
      </c>
      <c r="C336" t="s">
        <v>3667</v>
      </c>
      <c r="D336" t="s">
        <v>2552</v>
      </c>
      <c r="E336" t="s">
        <v>1537</v>
      </c>
      <c r="F336" t="s">
        <v>1518</v>
      </c>
      <c r="G336" t="s">
        <v>3680</v>
      </c>
      <c r="H336">
        <v>1</v>
      </c>
      <c r="I336">
        <v>1915.3</v>
      </c>
      <c r="J336">
        <v>1915.3</v>
      </c>
    </row>
    <row r="337" spans="1:10">
      <c r="A337" s="4">
        <v>45178</v>
      </c>
      <c r="B337" t="s">
        <v>3688</v>
      </c>
      <c r="C337" t="s">
        <v>3656</v>
      </c>
      <c r="D337" t="s">
        <v>2550</v>
      </c>
      <c r="E337" t="s">
        <v>1537</v>
      </c>
      <c r="F337" t="s">
        <v>1518</v>
      </c>
      <c r="G337" t="s">
        <v>3696</v>
      </c>
      <c r="H337">
        <v>8</v>
      </c>
      <c r="I337">
        <v>3927.74</v>
      </c>
      <c r="J337">
        <v>31421.919999999998</v>
      </c>
    </row>
    <row r="338" spans="1:10">
      <c r="A338" s="4">
        <v>45046</v>
      </c>
      <c r="B338" t="s">
        <v>3691</v>
      </c>
      <c r="C338" t="s">
        <v>3659</v>
      </c>
      <c r="D338" t="s">
        <v>2551</v>
      </c>
      <c r="E338" t="s">
        <v>1538</v>
      </c>
      <c r="F338" t="s">
        <v>1516</v>
      </c>
      <c r="G338" t="s">
        <v>3695</v>
      </c>
      <c r="H338">
        <v>10</v>
      </c>
      <c r="I338">
        <v>2682.33</v>
      </c>
      <c r="J338">
        <v>26823.3</v>
      </c>
    </row>
    <row r="339" spans="1:10">
      <c r="A339" s="4">
        <v>45202</v>
      </c>
      <c r="B339" t="s">
        <v>3689</v>
      </c>
      <c r="C339" t="s">
        <v>3658</v>
      </c>
      <c r="D339" t="s">
        <v>2550</v>
      </c>
      <c r="E339" t="s">
        <v>1537</v>
      </c>
      <c r="F339" t="s">
        <v>1514</v>
      </c>
      <c r="G339" t="s">
        <v>3697</v>
      </c>
      <c r="H339">
        <v>6</v>
      </c>
      <c r="I339">
        <v>4086.27</v>
      </c>
      <c r="J339">
        <v>24517.62</v>
      </c>
    </row>
    <row r="340" spans="1:10">
      <c r="A340" s="4">
        <v>45003</v>
      </c>
      <c r="B340" t="s">
        <v>3689</v>
      </c>
      <c r="C340" t="s">
        <v>3658</v>
      </c>
      <c r="D340" t="s">
        <v>2550</v>
      </c>
      <c r="E340" t="s">
        <v>1537</v>
      </c>
      <c r="F340" t="s">
        <v>1514</v>
      </c>
      <c r="G340" t="s">
        <v>3682</v>
      </c>
      <c r="H340">
        <v>8</v>
      </c>
      <c r="I340">
        <v>827.02</v>
      </c>
      <c r="J340">
        <v>6616.16</v>
      </c>
    </row>
    <row r="341" spans="1:10">
      <c r="A341" s="4">
        <v>45051</v>
      </c>
      <c r="B341" t="s">
        <v>3691</v>
      </c>
      <c r="C341" t="s">
        <v>3668</v>
      </c>
      <c r="D341" t="s">
        <v>2551</v>
      </c>
      <c r="E341" t="s">
        <v>1538</v>
      </c>
      <c r="F341" t="s">
        <v>3657</v>
      </c>
      <c r="G341" t="s">
        <v>3690</v>
      </c>
      <c r="H341">
        <v>14</v>
      </c>
      <c r="I341">
        <v>4728.4399999999996</v>
      </c>
      <c r="J341">
        <v>66198.16</v>
      </c>
    </row>
    <row r="342" spans="1:10">
      <c r="A342" s="4">
        <v>44979</v>
      </c>
      <c r="B342" t="s">
        <v>3679</v>
      </c>
      <c r="C342" t="s">
        <v>3663</v>
      </c>
      <c r="D342" t="s">
        <v>2548</v>
      </c>
      <c r="E342" t="s">
        <v>1535</v>
      </c>
      <c r="F342" t="s">
        <v>1517</v>
      </c>
      <c r="G342" t="s">
        <v>3693</v>
      </c>
      <c r="H342">
        <v>11</v>
      </c>
      <c r="I342">
        <v>575.73</v>
      </c>
      <c r="J342">
        <v>6333.03</v>
      </c>
    </row>
    <row r="343" spans="1:10">
      <c r="A343" s="4">
        <v>45093</v>
      </c>
      <c r="B343" t="s">
        <v>3676</v>
      </c>
      <c r="C343" t="s">
        <v>3665</v>
      </c>
      <c r="D343" t="s">
        <v>2549</v>
      </c>
      <c r="E343" t="s">
        <v>1535</v>
      </c>
      <c r="F343" t="s">
        <v>1517</v>
      </c>
      <c r="G343" t="s">
        <v>3693</v>
      </c>
      <c r="H343">
        <v>4</v>
      </c>
      <c r="I343">
        <v>578.35</v>
      </c>
      <c r="J343">
        <v>2313.4</v>
      </c>
    </row>
    <row r="344" spans="1:10">
      <c r="A344" s="4">
        <v>45160</v>
      </c>
      <c r="B344" t="s">
        <v>3688</v>
      </c>
      <c r="C344" t="s">
        <v>3658</v>
      </c>
      <c r="D344" t="s">
        <v>2550</v>
      </c>
      <c r="E344" t="s">
        <v>1537</v>
      </c>
      <c r="F344" t="s">
        <v>1518</v>
      </c>
      <c r="G344" t="s">
        <v>3674</v>
      </c>
      <c r="H344">
        <v>8</v>
      </c>
      <c r="I344">
        <v>3043.72</v>
      </c>
      <c r="J344">
        <v>24349.759999999998</v>
      </c>
    </row>
    <row r="345" spans="1:10">
      <c r="A345" s="4">
        <v>45071</v>
      </c>
      <c r="B345" t="s">
        <v>3681</v>
      </c>
      <c r="C345" t="s">
        <v>3655</v>
      </c>
      <c r="D345" t="s">
        <v>2552</v>
      </c>
      <c r="E345" t="s">
        <v>1537</v>
      </c>
      <c r="F345" t="s">
        <v>1517</v>
      </c>
      <c r="G345" t="s">
        <v>3672</v>
      </c>
      <c r="H345">
        <v>10</v>
      </c>
      <c r="I345">
        <v>3339.72</v>
      </c>
      <c r="J345">
        <v>33397.199999999997</v>
      </c>
    </row>
    <row r="346" spans="1:10">
      <c r="A346" s="4">
        <v>45181</v>
      </c>
      <c r="B346" t="s">
        <v>3673</v>
      </c>
      <c r="C346" t="s">
        <v>3668</v>
      </c>
      <c r="D346" t="s">
        <v>2551</v>
      </c>
      <c r="E346" t="s">
        <v>1538</v>
      </c>
      <c r="F346" t="s">
        <v>1517</v>
      </c>
      <c r="G346" t="s">
        <v>3672</v>
      </c>
      <c r="H346">
        <v>7</v>
      </c>
      <c r="I346">
        <v>2286.4</v>
      </c>
      <c r="J346">
        <v>16004.8</v>
      </c>
    </row>
    <row r="347" spans="1:10">
      <c r="A347" s="4">
        <v>44942</v>
      </c>
      <c r="B347" t="s">
        <v>3689</v>
      </c>
      <c r="C347" t="s">
        <v>3656</v>
      </c>
      <c r="D347" t="s">
        <v>2550</v>
      </c>
      <c r="E347" t="s">
        <v>1537</v>
      </c>
      <c r="F347" t="s">
        <v>1518</v>
      </c>
      <c r="G347" t="s">
        <v>3696</v>
      </c>
      <c r="H347">
        <v>6</v>
      </c>
      <c r="I347">
        <v>4862.26</v>
      </c>
      <c r="J347">
        <v>29173.56</v>
      </c>
    </row>
    <row r="348" spans="1:10">
      <c r="A348" s="4">
        <v>45257</v>
      </c>
      <c r="B348" t="s">
        <v>3684</v>
      </c>
      <c r="C348" t="s">
        <v>3662</v>
      </c>
      <c r="D348" t="s">
        <v>2552</v>
      </c>
      <c r="E348" t="s">
        <v>1537</v>
      </c>
      <c r="F348" t="s">
        <v>1514</v>
      </c>
      <c r="G348" t="s">
        <v>3685</v>
      </c>
      <c r="H348">
        <v>6</v>
      </c>
      <c r="I348">
        <v>3470.44</v>
      </c>
      <c r="J348">
        <v>20822.64</v>
      </c>
    </row>
    <row r="349" spans="1:10">
      <c r="A349" s="4">
        <v>45106</v>
      </c>
      <c r="B349" t="s">
        <v>3683</v>
      </c>
      <c r="C349" t="s">
        <v>3660</v>
      </c>
      <c r="D349" t="s">
        <v>2549</v>
      </c>
      <c r="E349" t="s">
        <v>1535</v>
      </c>
      <c r="F349" t="s">
        <v>1516</v>
      </c>
      <c r="G349" t="s">
        <v>3686</v>
      </c>
      <c r="H349">
        <v>5</v>
      </c>
      <c r="I349">
        <v>4175.13</v>
      </c>
      <c r="J349">
        <v>20875.650000000001</v>
      </c>
    </row>
    <row r="350" spans="1:10">
      <c r="A350" s="4">
        <v>45204</v>
      </c>
      <c r="B350" t="s">
        <v>3688</v>
      </c>
      <c r="C350" t="s">
        <v>3667</v>
      </c>
      <c r="D350" t="s">
        <v>2552</v>
      </c>
      <c r="E350" t="s">
        <v>1537</v>
      </c>
      <c r="F350" t="s">
        <v>3657</v>
      </c>
      <c r="G350" t="s">
        <v>3690</v>
      </c>
      <c r="H350">
        <v>16</v>
      </c>
      <c r="I350">
        <v>1880.67</v>
      </c>
      <c r="J350">
        <v>30090.720000000001</v>
      </c>
    </row>
    <row r="351" spans="1:10">
      <c r="A351" s="4">
        <v>45149</v>
      </c>
      <c r="B351" t="s">
        <v>3684</v>
      </c>
      <c r="C351" t="s">
        <v>3659</v>
      </c>
      <c r="D351" t="s">
        <v>2551</v>
      </c>
      <c r="E351" t="s">
        <v>1538</v>
      </c>
      <c r="F351" t="s">
        <v>1514</v>
      </c>
      <c r="G351" t="s">
        <v>3697</v>
      </c>
      <c r="H351">
        <v>7</v>
      </c>
      <c r="I351">
        <v>2187.71</v>
      </c>
      <c r="J351">
        <v>15313.97</v>
      </c>
    </row>
    <row r="352" spans="1:10">
      <c r="A352" s="4">
        <v>45190</v>
      </c>
      <c r="B352" t="s">
        <v>3676</v>
      </c>
      <c r="C352" t="s">
        <v>3662</v>
      </c>
      <c r="D352" t="s">
        <v>2552</v>
      </c>
      <c r="E352" t="s">
        <v>1537</v>
      </c>
      <c r="F352" t="s">
        <v>1516</v>
      </c>
      <c r="G352" t="s">
        <v>3687</v>
      </c>
      <c r="H352">
        <v>14</v>
      </c>
      <c r="I352">
        <v>1024.22</v>
      </c>
      <c r="J352">
        <v>14339.08</v>
      </c>
    </row>
    <row r="353" spans="1:10">
      <c r="A353" s="4">
        <v>45260</v>
      </c>
      <c r="B353" t="s">
        <v>3689</v>
      </c>
      <c r="C353" t="s">
        <v>3658</v>
      </c>
      <c r="D353" t="s">
        <v>2550</v>
      </c>
      <c r="E353" t="s">
        <v>1537</v>
      </c>
      <c r="F353" t="s">
        <v>1516</v>
      </c>
      <c r="G353" t="s">
        <v>3686</v>
      </c>
      <c r="H353">
        <v>17</v>
      </c>
      <c r="I353">
        <v>544.41999999999996</v>
      </c>
      <c r="J353">
        <v>9255.14</v>
      </c>
    </row>
    <row r="354" spans="1:10">
      <c r="A354" s="4">
        <v>45014</v>
      </c>
      <c r="B354" t="s">
        <v>3681</v>
      </c>
      <c r="C354" t="s">
        <v>3654</v>
      </c>
      <c r="D354" t="s">
        <v>2549</v>
      </c>
      <c r="E354" t="s">
        <v>1535</v>
      </c>
      <c r="F354" t="s">
        <v>1518</v>
      </c>
      <c r="G354" t="s">
        <v>3696</v>
      </c>
      <c r="H354">
        <v>4</v>
      </c>
      <c r="I354">
        <v>942.96</v>
      </c>
      <c r="J354">
        <v>3771.84</v>
      </c>
    </row>
    <row r="355" spans="1:10">
      <c r="A355" s="4">
        <v>45270</v>
      </c>
      <c r="B355" t="s">
        <v>3689</v>
      </c>
      <c r="C355" t="s">
        <v>3656</v>
      </c>
      <c r="D355" t="s">
        <v>2550</v>
      </c>
      <c r="E355" t="s">
        <v>1537</v>
      </c>
      <c r="F355" t="s">
        <v>1517</v>
      </c>
      <c r="G355" t="s">
        <v>3701</v>
      </c>
      <c r="H355">
        <v>12</v>
      </c>
      <c r="I355">
        <v>1799.38</v>
      </c>
      <c r="J355">
        <v>21592.560000000001</v>
      </c>
    </row>
    <row r="356" spans="1:10">
      <c r="A356" s="4">
        <v>44972</v>
      </c>
      <c r="B356" t="s">
        <v>3679</v>
      </c>
      <c r="C356" t="s">
        <v>3656</v>
      </c>
      <c r="D356" t="s">
        <v>2550</v>
      </c>
      <c r="E356" t="s">
        <v>1537</v>
      </c>
      <c r="F356" t="s">
        <v>1516</v>
      </c>
      <c r="G356" t="s">
        <v>3687</v>
      </c>
      <c r="H356">
        <v>11</v>
      </c>
      <c r="I356">
        <v>1634.39</v>
      </c>
      <c r="J356">
        <v>17978.29</v>
      </c>
    </row>
    <row r="357" spans="1:10">
      <c r="A357" s="4">
        <v>45207</v>
      </c>
      <c r="B357" t="s">
        <v>3691</v>
      </c>
      <c r="C357" t="s">
        <v>3654</v>
      </c>
      <c r="D357" t="s">
        <v>2549</v>
      </c>
      <c r="E357" t="s">
        <v>1535</v>
      </c>
      <c r="F357" t="s">
        <v>1517</v>
      </c>
      <c r="G357" t="s">
        <v>3699</v>
      </c>
      <c r="H357">
        <v>3</v>
      </c>
      <c r="I357">
        <v>2950.28</v>
      </c>
      <c r="J357">
        <v>8850.84</v>
      </c>
    </row>
    <row r="358" spans="1:10">
      <c r="A358" s="4">
        <v>45196</v>
      </c>
      <c r="B358" t="s">
        <v>3679</v>
      </c>
      <c r="C358" t="s">
        <v>3665</v>
      </c>
      <c r="D358" t="s">
        <v>2549</v>
      </c>
      <c r="E358" t="s">
        <v>1535</v>
      </c>
      <c r="F358" t="s">
        <v>3657</v>
      </c>
      <c r="G358" t="s">
        <v>3694</v>
      </c>
      <c r="H358">
        <v>10</v>
      </c>
      <c r="I358">
        <v>4788</v>
      </c>
      <c r="J358">
        <v>47880</v>
      </c>
    </row>
    <row r="359" spans="1:10">
      <c r="A359" s="4">
        <v>45014</v>
      </c>
      <c r="B359" t="s">
        <v>3675</v>
      </c>
      <c r="C359" t="s">
        <v>3661</v>
      </c>
      <c r="D359" t="s">
        <v>2550</v>
      </c>
      <c r="E359" t="s">
        <v>1537</v>
      </c>
      <c r="F359" t="s">
        <v>1517</v>
      </c>
      <c r="G359" t="s">
        <v>3693</v>
      </c>
      <c r="H359">
        <v>8</v>
      </c>
      <c r="I359">
        <v>1807.67</v>
      </c>
      <c r="J359">
        <v>14461.36</v>
      </c>
    </row>
    <row r="360" spans="1:10">
      <c r="A360" s="4">
        <v>45201</v>
      </c>
      <c r="B360" t="s">
        <v>3683</v>
      </c>
      <c r="C360" t="s">
        <v>3667</v>
      </c>
      <c r="D360" t="s">
        <v>2552</v>
      </c>
      <c r="E360" t="s">
        <v>1537</v>
      </c>
      <c r="F360" t="s">
        <v>3657</v>
      </c>
      <c r="G360" t="s">
        <v>3694</v>
      </c>
      <c r="H360">
        <v>19</v>
      </c>
      <c r="I360">
        <v>797.02</v>
      </c>
      <c r="J360">
        <v>15143.38</v>
      </c>
    </row>
    <row r="361" spans="1:10">
      <c r="A361" s="4">
        <v>45255</v>
      </c>
      <c r="B361" t="s">
        <v>3675</v>
      </c>
      <c r="C361" t="s">
        <v>3661</v>
      </c>
      <c r="D361" t="s">
        <v>2550</v>
      </c>
      <c r="E361" t="s">
        <v>1537</v>
      </c>
      <c r="F361" t="s">
        <v>1514</v>
      </c>
      <c r="G361" t="s">
        <v>3697</v>
      </c>
      <c r="H361">
        <v>2</v>
      </c>
      <c r="I361">
        <v>1195.99</v>
      </c>
      <c r="J361">
        <v>2391.98</v>
      </c>
    </row>
    <row r="362" spans="1:10">
      <c r="A362" s="4">
        <v>45052</v>
      </c>
      <c r="B362" t="s">
        <v>3688</v>
      </c>
      <c r="C362" t="s">
        <v>3666</v>
      </c>
      <c r="D362" t="s">
        <v>2548</v>
      </c>
      <c r="E362" t="s">
        <v>1535</v>
      </c>
      <c r="F362" t="s">
        <v>1516</v>
      </c>
      <c r="G362" t="s">
        <v>3695</v>
      </c>
      <c r="H362">
        <v>20</v>
      </c>
      <c r="I362">
        <v>2056.65</v>
      </c>
      <c r="J362">
        <v>41133</v>
      </c>
    </row>
    <row r="363" spans="1:10">
      <c r="A363" s="4">
        <v>44989</v>
      </c>
      <c r="B363" t="s">
        <v>3688</v>
      </c>
      <c r="C363" t="s">
        <v>3656</v>
      </c>
      <c r="D363" t="s">
        <v>2550</v>
      </c>
      <c r="E363" t="s">
        <v>1537</v>
      </c>
      <c r="F363" t="s">
        <v>1517</v>
      </c>
      <c r="G363" t="s">
        <v>3701</v>
      </c>
      <c r="H363">
        <v>16</v>
      </c>
      <c r="I363">
        <v>4817.63</v>
      </c>
      <c r="J363">
        <v>77082.080000000002</v>
      </c>
    </row>
    <row r="364" spans="1:10">
      <c r="A364" s="4">
        <v>45090</v>
      </c>
      <c r="B364" t="s">
        <v>3675</v>
      </c>
      <c r="C364" t="s">
        <v>3655</v>
      </c>
      <c r="D364" t="s">
        <v>2552</v>
      </c>
      <c r="E364" t="s">
        <v>1537</v>
      </c>
      <c r="F364" t="s">
        <v>1516</v>
      </c>
      <c r="G364" t="s">
        <v>3687</v>
      </c>
      <c r="H364">
        <v>7</v>
      </c>
      <c r="I364">
        <v>4950.24</v>
      </c>
      <c r="J364">
        <v>34651.68</v>
      </c>
    </row>
    <row r="365" spans="1:10">
      <c r="A365" s="4">
        <v>45163</v>
      </c>
      <c r="B365" t="s">
        <v>3688</v>
      </c>
      <c r="C365" t="s">
        <v>3654</v>
      </c>
      <c r="D365" t="s">
        <v>2549</v>
      </c>
      <c r="E365" t="s">
        <v>1535</v>
      </c>
      <c r="F365" t="s">
        <v>1516</v>
      </c>
      <c r="G365" t="s">
        <v>3687</v>
      </c>
      <c r="H365">
        <v>9</v>
      </c>
      <c r="I365">
        <v>2935.97</v>
      </c>
      <c r="J365">
        <v>26423.73</v>
      </c>
    </row>
    <row r="366" spans="1:10">
      <c r="A366" s="4">
        <v>45269</v>
      </c>
      <c r="B366" t="s">
        <v>3691</v>
      </c>
      <c r="C366" t="s">
        <v>3664</v>
      </c>
      <c r="D366" t="s">
        <v>2548</v>
      </c>
      <c r="E366" t="s">
        <v>1535</v>
      </c>
      <c r="F366" t="s">
        <v>3657</v>
      </c>
      <c r="G366" t="s">
        <v>3678</v>
      </c>
      <c r="H366">
        <v>9</v>
      </c>
      <c r="I366">
        <v>3560.8</v>
      </c>
      <c r="J366">
        <v>32047.200000000001</v>
      </c>
    </row>
    <row r="367" spans="1:10">
      <c r="A367" s="4">
        <v>44993</v>
      </c>
      <c r="B367" t="s">
        <v>3691</v>
      </c>
      <c r="C367" t="s">
        <v>3666</v>
      </c>
      <c r="D367" t="s">
        <v>2548</v>
      </c>
      <c r="E367" t="s">
        <v>1535</v>
      </c>
      <c r="F367" t="s">
        <v>1518</v>
      </c>
      <c r="G367" t="s">
        <v>3700</v>
      </c>
      <c r="H367">
        <v>11</v>
      </c>
      <c r="I367">
        <v>4890.92</v>
      </c>
      <c r="J367">
        <v>53800.12</v>
      </c>
    </row>
    <row r="368" spans="1:10">
      <c r="A368" s="4">
        <v>44977</v>
      </c>
      <c r="B368" t="s">
        <v>3681</v>
      </c>
      <c r="C368" t="s">
        <v>3655</v>
      </c>
      <c r="D368" t="s">
        <v>2552</v>
      </c>
      <c r="E368" t="s">
        <v>1537</v>
      </c>
      <c r="F368" t="s">
        <v>1516</v>
      </c>
      <c r="G368" t="s">
        <v>3677</v>
      </c>
      <c r="H368">
        <v>8</v>
      </c>
      <c r="I368">
        <v>4143.5600000000004</v>
      </c>
      <c r="J368">
        <v>33148.480000000003</v>
      </c>
    </row>
    <row r="369" spans="1:10">
      <c r="A369" s="4">
        <v>45032</v>
      </c>
      <c r="B369" t="s">
        <v>3689</v>
      </c>
      <c r="C369" t="s">
        <v>3656</v>
      </c>
      <c r="D369" t="s">
        <v>2550</v>
      </c>
      <c r="E369" t="s">
        <v>1537</v>
      </c>
      <c r="F369" t="s">
        <v>3657</v>
      </c>
      <c r="G369" t="s">
        <v>3694</v>
      </c>
      <c r="H369">
        <v>4</v>
      </c>
      <c r="I369">
        <v>2395.66</v>
      </c>
      <c r="J369">
        <v>9582.64</v>
      </c>
    </row>
    <row r="370" spans="1:10">
      <c r="A370" s="4">
        <v>45147</v>
      </c>
      <c r="B370" t="s">
        <v>3681</v>
      </c>
      <c r="C370" t="s">
        <v>3664</v>
      </c>
      <c r="D370" t="s">
        <v>2548</v>
      </c>
      <c r="E370" t="s">
        <v>1535</v>
      </c>
      <c r="F370" t="s">
        <v>1516</v>
      </c>
      <c r="G370" t="s">
        <v>3686</v>
      </c>
      <c r="H370">
        <v>18</v>
      </c>
      <c r="I370">
        <v>1582.02</v>
      </c>
      <c r="J370">
        <v>28476.36</v>
      </c>
    </row>
    <row r="371" spans="1:10">
      <c r="A371" s="4">
        <v>45164</v>
      </c>
      <c r="B371" t="s">
        <v>3673</v>
      </c>
      <c r="C371" t="s">
        <v>3666</v>
      </c>
      <c r="D371" t="s">
        <v>2548</v>
      </c>
      <c r="E371" t="s">
        <v>1535</v>
      </c>
      <c r="F371" t="s">
        <v>1516</v>
      </c>
      <c r="G371" t="s">
        <v>3687</v>
      </c>
      <c r="H371">
        <v>14</v>
      </c>
      <c r="I371">
        <v>3381.77</v>
      </c>
      <c r="J371">
        <v>47344.78</v>
      </c>
    </row>
    <row r="372" spans="1:10">
      <c r="A372" s="4">
        <v>45036</v>
      </c>
      <c r="B372" t="s">
        <v>3691</v>
      </c>
      <c r="C372" t="s">
        <v>3667</v>
      </c>
      <c r="D372" t="s">
        <v>2552</v>
      </c>
      <c r="E372" t="s">
        <v>1537</v>
      </c>
      <c r="F372" t="s">
        <v>1518</v>
      </c>
      <c r="G372" t="s">
        <v>3680</v>
      </c>
      <c r="H372">
        <v>16</v>
      </c>
      <c r="I372">
        <v>2580.42</v>
      </c>
      <c r="J372">
        <v>41286.720000000001</v>
      </c>
    </row>
    <row r="373" spans="1:10">
      <c r="A373" s="4">
        <v>45106</v>
      </c>
      <c r="B373" t="s">
        <v>3684</v>
      </c>
      <c r="C373" t="s">
        <v>3664</v>
      </c>
      <c r="D373" t="s">
        <v>2548</v>
      </c>
      <c r="E373" t="s">
        <v>1535</v>
      </c>
      <c r="F373" t="s">
        <v>1516</v>
      </c>
      <c r="G373" t="s">
        <v>3687</v>
      </c>
      <c r="H373">
        <v>3</v>
      </c>
      <c r="I373">
        <v>3838.25</v>
      </c>
      <c r="J373">
        <v>11514.75</v>
      </c>
    </row>
    <row r="374" spans="1:10">
      <c r="A374" s="4">
        <v>45077</v>
      </c>
      <c r="B374" t="s">
        <v>3684</v>
      </c>
      <c r="C374" t="s">
        <v>3656</v>
      </c>
      <c r="D374" t="s">
        <v>2550</v>
      </c>
      <c r="E374" t="s">
        <v>1537</v>
      </c>
      <c r="F374" t="s">
        <v>3657</v>
      </c>
      <c r="G374" t="s">
        <v>3690</v>
      </c>
      <c r="H374">
        <v>2</v>
      </c>
      <c r="I374">
        <v>591.6</v>
      </c>
      <c r="J374">
        <v>1183.2</v>
      </c>
    </row>
    <row r="375" spans="1:10">
      <c r="A375" s="4">
        <v>45100</v>
      </c>
      <c r="B375" t="s">
        <v>3676</v>
      </c>
      <c r="C375" t="s">
        <v>3659</v>
      </c>
      <c r="D375" t="s">
        <v>2551</v>
      </c>
      <c r="E375" t="s">
        <v>1538</v>
      </c>
      <c r="F375" t="s">
        <v>1516</v>
      </c>
      <c r="G375" t="s">
        <v>3687</v>
      </c>
      <c r="H375">
        <v>1</v>
      </c>
      <c r="I375">
        <v>2709.05</v>
      </c>
      <c r="J375">
        <v>2709.05</v>
      </c>
    </row>
    <row r="376" spans="1:10">
      <c r="A376" s="4">
        <v>45147</v>
      </c>
      <c r="B376" t="s">
        <v>3679</v>
      </c>
      <c r="C376" t="s">
        <v>3667</v>
      </c>
      <c r="D376" t="s">
        <v>2552</v>
      </c>
      <c r="E376" t="s">
        <v>1537</v>
      </c>
      <c r="F376" t="s">
        <v>1514</v>
      </c>
      <c r="G376" t="s">
        <v>3697</v>
      </c>
      <c r="H376">
        <v>5</v>
      </c>
      <c r="I376">
        <v>194.7</v>
      </c>
      <c r="J376">
        <v>973.5</v>
      </c>
    </row>
    <row r="377" spans="1:10">
      <c r="A377" s="4">
        <v>45225</v>
      </c>
      <c r="B377" t="s">
        <v>3676</v>
      </c>
      <c r="C377" t="s">
        <v>3666</v>
      </c>
      <c r="D377" t="s">
        <v>2548</v>
      </c>
      <c r="E377" t="s">
        <v>1535</v>
      </c>
      <c r="F377" t="s">
        <v>1518</v>
      </c>
      <c r="G377" t="s">
        <v>3680</v>
      </c>
      <c r="H377">
        <v>4</v>
      </c>
      <c r="I377">
        <v>900.33</v>
      </c>
      <c r="J377">
        <v>3601.32</v>
      </c>
    </row>
    <row r="378" spans="1:10">
      <c r="A378" s="4">
        <v>45061</v>
      </c>
      <c r="B378" t="s">
        <v>3681</v>
      </c>
      <c r="C378" t="s">
        <v>3658</v>
      </c>
      <c r="D378" t="s">
        <v>2550</v>
      </c>
      <c r="E378" t="s">
        <v>1537</v>
      </c>
      <c r="F378" t="s">
        <v>3657</v>
      </c>
      <c r="G378" t="s">
        <v>3678</v>
      </c>
      <c r="H378">
        <v>13</v>
      </c>
      <c r="I378">
        <v>3574.45</v>
      </c>
      <c r="J378">
        <v>46467.85</v>
      </c>
    </row>
    <row r="379" spans="1:10">
      <c r="A379" s="4">
        <v>44998</v>
      </c>
      <c r="B379" t="s">
        <v>3675</v>
      </c>
      <c r="C379" t="s">
        <v>3669</v>
      </c>
      <c r="D379" t="s">
        <v>2551</v>
      </c>
      <c r="E379" t="s">
        <v>1538</v>
      </c>
      <c r="F379" t="s">
        <v>1514</v>
      </c>
      <c r="G379" t="s">
        <v>3682</v>
      </c>
      <c r="H379">
        <v>20</v>
      </c>
      <c r="I379">
        <v>1637.44</v>
      </c>
      <c r="J379">
        <v>32748.799999999999</v>
      </c>
    </row>
    <row r="380" spans="1:10">
      <c r="A380" s="4">
        <v>45060</v>
      </c>
      <c r="B380" t="s">
        <v>3676</v>
      </c>
      <c r="C380" t="s">
        <v>3662</v>
      </c>
      <c r="D380" t="s">
        <v>2552</v>
      </c>
      <c r="E380" t="s">
        <v>1537</v>
      </c>
      <c r="F380" t="s">
        <v>1517</v>
      </c>
      <c r="G380" t="s">
        <v>3699</v>
      </c>
      <c r="H380">
        <v>14</v>
      </c>
      <c r="I380">
        <v>3177.8</v>
      </c>
      <c r="J380">
        <v>44489.2</v>
      </c>
    </row>
    <row r="381" spans="1:10">
      <c r="A381" s="4">
        <v>45070</v>
      </c>
      <c r="B381" t="s">
        <v>3683</v>
      </c>
      <c r="C381" t="s">
        <v>3655</v>
      </c>
      <c r="D381" t="s">
        <v>2552</v>
      </c>
      <c r="E381" t="s">
        <v>1537</v>
      </c>
      <c r="F381" t="s">
        <v>1514</v>
      </c>
      <c r="G381" t="s">
        <v>3685</v>
      </c>
      <c r="H381">
        <v>1</v>
      </c>
      <c r="I381">
        <v>3382.37</v>
      </c>
      <c r="J381">
        <v>3382.37</v>
      </c>
    </row>
    <row r="382" spans="1:10">
      <c r="A382" s="4">
        <v>45043</v>
      </c>
      <c r="B382" t="s">
        <v>3673</v>
      </c>
      <c r="C382" t="s">
        <v>3669</v>
      </c>
      <c r="D382" t="s">
        <v>2551</v>
      </c>
      <c r="E382" t="s">
        <v>1538</v>
      </c>
      <c r="F382" t="s">
        <v>1518</v>
      </c>
      <c r="G382" t="s">
        <v>3700</v>
      </c>
      <c r="H382">
        <v>19</v>
      </c>
      <c r="I382">
        <v>2816.52</v>
      </c>
      <c r="J382">
        <v>53513.88</v>
      </c>
    </row>
    <row r="383" spans="1:10">
      <c r="A383" s="4">
        <v>45258</v>
      </c>
      <c r="B383" t="s">
        <v>3673</v>
      </c>
      <c r="C383" t="s">
        <v>3659</v>
      </c>
      <c r="D383" t="s">
        <v>2551</v>
      </c>
      <c r="E383" t="s">
        <v>1538</v>
      </c>
      <c r="F383" t="s">
        <v>3657</v>
      </c>
      <c r="G383" t="s">
        <v>3692</v>
      </c>
      <c r="H383">
        <v>13</v>
      </c>
      <c r="I383">
        <v>3417.94</v>
      </c>
      <c r="J383">
        <v>44433.22</v>
      </c>
    </row>
    <row r="384" spans="1:10">
      <c r="A384" s="4">
        <v>45283</v>
      </c>
      <c r="B384" t="s">
        <v>3673</v>
      </c>
      <c r="C384" t="s">
        <v>3655</v>
      </c>
      <c r="D384" t="s">
        <v>2552</v>
      </c>
      <c r="E384" t="s">
        <v>1537</v>
      </c>
      <c r="F384" t="s">
        <v>1516</v>
      </c>
      <c r="G384" t="s">
        <v>3695</v>
      </c>
      <c r="H384">
        <v>14</v>
      </c>
      <c r="I384">
        <v>917.55</v>
      </c>
      <c r="J384">
        <v>12845.7</v>
      </c>
    </row>
    <row r="385" spans="1:10">
      <c r="A385" s="4">
        <v>44997</v>
      </c>
      <c r="B385" t="s">
        <v>3684</v>
      </c>
      <c r="C385" t="s">
        <v>3660</v>
      </c>
      <c r="D385" t="s">
        <v>2549</v>
      </c>
      <c r="E385" t="s">
        <v>1535</v>
      </c>
      <c r="F385" t="s">
        <v>1514</v>
      </c>
      <c r="G385" t="s">
        <v>3682</v>
      </c>
      <c r="H385">
        <v>1</v>
      </c>
      <c r="I385">
        <v>1598.87</v>
      </c>
      <c r="J385">
        <v>1598.87</v>
      </c>
    </row>
    <row r="386" spans="1:10">
      <c r="A386" s="4">
        <v>45200</v>
      </c>
      <c r="B386" t="s">
        <v>3684</v>
      </c>
      <c r="C386" t="s">
        <v>3669</v>
      </c>
      <c r="D386" t="s">
        <v>2551</v>
      </c>
      <c r="E386" t="s">
        <v>1538</v>
      </c>
      <c r="F386" t="s">
        <v>1517</v>
      </c>
      <c r="G386" t="s">
        <v>3672</v>
      </c>
      <c r="H386">
        <v>7</v>
      </c>
      <c r="I386">
        <v>405.27</v>
      </c>
      <c r="J386">
        <v>2836.89</v>
      </c>
    </row>
    <row r="387" spans="1:10">
      <c r="A387" s="4">
        <v>45211</v>
      </c>
      <c r="B387" t="s">
        <v>3684</v>
      </c>
      <c r="C387" t="s">
        <v>3654</v>
      </c>
      <c r="D387" t="s">
        <v>2549</v>
      </c>
      <c r="E387" t="s">
        <v>1535</v>
      </c>
      <c r="F387" t="s">
        <v>3657</v>
      </c>
      <c r="G387" t="s">
        <v>3690</v>
      </c>
      <c r="H387">
        <v>5</v>
      </c>
      <c r="I387">
        <v>2819.92</v>
      </c>
      <c r="J387">
        <v>14099.6</v>
      </c>
    </row>
    <row r="388" spans="1:10">
      <c r="A388" s="4">
        <v>45281</v>
      </c>
      <c r="B388" t="s">
        <v>3676</v>
      </c>
      <c r="C388" t="s">
        <v>3655</v>
      </c>
      <c r="D388" t="s">
        <v>2552</v>
      </c>
      <c r="E388" t="s">
        <v>1537</v>
      </c>
      <c r="F388" t="s">
        <v>1514</v>
      </c>
      <c r="G388" t="s">
        <v>3682</v>
      </c>
      <c r="H388">
        <v>7</v>
      </c>
      <c r="I388">
        <v>4023.6</v>
      </c>
      <c r="J388">
        <v>28165.200000000001</v>
      </c>
    </row>
    <row r="389" spans="1:10">
      <c r="A389" s="4">
        <v>45190</v>
      </c>
      <c r="B389" t="s">
        <v>3679</v>
      </c>
      <c r="C389" t="s">
        <v>3656</v>
      </c>
      <c r="D389" t="s">
        <v>2550</v>
      </c>
      <c r="E389" t="s">
        <v>1537</v>
      </c>
      <c r="F389" t="s">
        <v>3657</v>
      </c>
      <c r="G389" t="s">
        <v>3690</v>
      </c>
      <c r="H389">
        <v>6</v>
      </c>
      <c r="I389">
        <v>4911.79</v>
      </c>
      <c r="J389">
        <v>29470.74</v>
      </c>
    </row>
    <row r="390" spans="1:10">
      <c r="A390" s="4">
        <v>45240</v>
      </c>
      <c r="B390" t="s">
        <v>3683</v>
      </c>
      <c r="C390" t="s">
        <v>3662</v>
      </c>
      <c r="D390" t="s">
        <v>2552</v>
      </c>
      <c r="E390" t="s">
        <v>1537</v>
      </c>
      <c r="F390" t="s">
        <v>1517</v>
      </c>
      <c r="G390" t="s">
        <v>3693</v>
      </c>
      <c r="H390">
        <v>7</v>
      </c>
      <c r="I390">
        <v>2186.75</v>
      </c>
      <c r="J390">
        <v>15307.25</v>
      </c>
    </row>
    <row r="391" spans="1:10">
      <c r="A391" s="4">
        <v>45228</v>
      </c>
      <c r="B391" t="s">
        <v>3691</v>
      </c>
      <c r="C391" t="s">
        <v>3669</v>
      </c>
      <c r="D391" t="s">
        <v>2551</v>
      </c>
      <c r="E391" t="s">
        <v>1538</v>
      </c>
      <c r="F391" t="s">
        <v>1518</v>
      </c>
      <c r="G391" t="s">
        <v>3674</v>
      </c>
      <c r="H391">
        <v>9</v>
      </c>
      <c r="I391">
        <v>2304.23</v>
      </c>
      <c r="J391">
        <v>20738.07</v>
      </c>
    </row>
    <row r="392" spans="1:10">
      <c r="A392" s="4">
        <v>45050</v>
      </c>
      <c r="B392" t="s">
        <v>3683</v>
      </c>
      <c r="C392" t="s">
        <v>3654</v>
      </c>
      <c r="D392" t="s">
        <v>2549</v>
      </c>
      <c r="E392" t="s">
        <v>1535</v>
      </c>
      <c r="F392" t="s">
        <v>1514</v>
      </c>
      <c r="G392" t="s">
        <v>3685</v>
      </c>
      <c r="H392">
        <v>6</v>
      </c>
      <c r="I392">
        <v>2282.5500000000002</v>
      </c>
      <c r="J392">
        <v>13695.3</v>
      </c>
    </row>
    <row r="393" spans="1:10">
      <c r="A393" s="4">
        <v>45225</v>
      </c>
      <c r="B393" t="s">
        <v>3679</v>
      </c>
      <c r="C393" t="s">
        <v>3663</v>
      </c>
      <c r="D393" t="s">
        <v>2548</v>
      </c>
      <c r="E393" t="s">
        <v>1535</v>
      </c>
      <c r="F393" t="s">
        <v>1514</v>
      </c>
      <c r="G393" t="s">
        <v>3697</v>
      </c>
      <c r="H393">
        <v>4</v>
      </c>
      <c r="I393">
        <v>4778.2299999999996</v>
      </c>
      <c r="J393">
        <v>19112.919999999998</v>
      </c>
    </row>
    <row r="394" spans="1:10">
      <c r="A394" s="4">
        <v>45047</v>
      </c>
      <c r="B394" t="s">
        <v>3684</v>
      </c>
      <c r="C394" t="s">
        <v>3661</v>
      </c>
      <c r="D394" t="s">
        <v>2550</v>
      </c>
      <c r="E394" t="s">
        <v>1537</v>
      </c>
      <c r="F394" t="s">
        <v>1516</v>
      </c>
      <c r="G394" t="s">
        <v>3687</v>
      </c>
      <c r="H394">
        <v>11</v>
      </c>
      <c r="I394">
        <v>1286.08</v>
      </c>
      <c r="J394">
        <v>14146.88</v>
      </c>
    </row>
    <row r="395" spans="1:10">
      <c r="A395" s="4">
        <v>45215</v>
      </c>
      <c r="B395" t="s">
        <v>3688</v>
      </c>
      <c r="C395" t="s">
        <v>3665</v>
      </c>
      <c r="D395" t="s">
        <v>2549</v>
      </c>
      <c r="E395" t="s">
        <v>1535</v>
      </c>
      <c r="F395" t="s">
        <v>1514</v>
      </c>
      <c r="G395" t="s">
        <v>3698</v>
      </c>
      <c r="H395">
        <v>19</v>
      </c>
      <c r="I395">
        <v>1844.31</v>
      </c>
      <c r="J395">
        <v>35041.89</v>
      </c>
    </row>
    <row r="396" spans="1:10">
      <c r="A396" s="4">
        <v>45262</v>
      </c>
      <c r="B396" t="s">
        <v>3688</v>
      </c>
      <c r="C396" t="s">
        <v>3663</v>
      </c>
      <c r="D396" t="s">
        <v>2548</v>
      </c>
      <c r="E396" t="s">
        <v>1535</v>
      </c>
      <c r="F396" t="s">
        <v>1516</v>
      </c>
      <c r="G396" t="s">
        <v>3677</v>
      </c>
      <c r="H396">
        <v>14</v>
      </c>
      <c r="I396">
        <v>148.43</v>
      </c>
      <c r="J396">
        <v>2078.02</v>
      </c>
    </row>
    <row r="397" spans="1:10">
      <c r="A397" s="4">
        <v>44965</v>
      </c>
      <c r="B397" t="s">
        <v>3688</v>
      </c>
      <c r="C397" t="s">
        <v>3664</v>
      </c>
      <c r="D397" t="s">
        <v>2548</v>
      </c>
      <c r="E397" t="s">
        <v>1535</v>
      </c>
      <c r="F397" t="s">
        <v>1518</v>
      </c>
      <c r="G397" t="s">
        <v>3680</v>
      </c>
      <c r="H397">
        <v>3</v>
      </c>
      <c r="I397">
        <v>2502.81</v>
      </c>
      <c r="J397">
        <v>7508.43</v>
      </c>
    </row>
    <row r="398" spans="1:10">
      <c r="A398" s="4">
        <v>45052</v>
      </c>
      <c r="B398" t="s">
        <v>3691</v>
      </c>
      <c r="C398" t="s">
        <v>3663</v>
      </c>
      <c r="D398" t="s">
        <v>2548</v>
      </c>
      <c r="E398" t="s">
        <v>1535</v>
      </c>
      <c r="F398" t="s">
        <v>1517</v>
      </c>
      <c r="G398" t="s">
        <v>3693</v>
      </c>
      <c r="H398">
        <v>7</v>
      </c>
      <c r="I398">
        <v>3721.37</v>
      </c>
      <c r="J398">
        <v>26049.59</v>
      </c>
    </row>
    <row r="399" spans="1:10">
      <c r="A399" s="4">
        <v>45105</v>
      </c>
      <c r="B399" t="s">
        <v>3688</v>
      </c>
      <c r="C399" t="s">
        <v>3661</v>
      </c>
      <c r="D399" t="s">
        <v>2550</v>
      </c>
      <c r="E399" t="s">
        <v>1537</v>
      </c>
      <c r="F399" t="s">
        <v>1517</v>
      </c>
      <c r="G399" t="s">
        <v>3699</v>
      </c>
      <c r="H399">
        <v>2</v>
      </c>
      <c r="I399">
        <v>3719.83</v>
      </c>
      <c r="J399">
        <v>7439.66</v>
      </c>
    </row>
    <row r="400" spans="1:10">
      <c r="A400" s="4">
        <v>45207</v>
      </c>
      <c r="B400" t="s">
        <v>3676</v>
      </c>
      <c r="C400" t="s">
        <v>3668</v>
      </c>
      <c r="D400" t="s">
        <v>2551</v>
      </c>
      <c r="E400" t="s">
        <v>1538</v>
      </c>
      <c r="F400" t="s">
        <v>1516</v>
      </c>
      <c r="G400" t="s">
        <v>3677</v>
      </c>
      <c r="H400">
        <v>19</v>
      </c>
      <c r="I400">
        <v>2862.47</v>
      </c>
      <c r="J400">
        <v>54386.93</v>
      </c>
    </row>
    <row r="401" spans="1:10">
      <c r="A401" s="4">
        <v>45044</v>
      </c>
      <c r="B401" t="s">
        <v>3681</v>
      </c>
      <c r="C401" t="s">
        <v>3658</v>
      </c>
      <c r="D401" t="s">
        <v>2550</v>
      </c>
      <c r="E401" t="s">
        <v>1537</v>
      </c>
      <c r="F401" t="s">
        <v>1518</v>
      </c>
      <c r="G401" t="s">
        <v>3674</v>
      </c>
      <c r="H401">
        <v>5</v>
      </c>
      <c r="I401">
        <v>4715.05</v>
      </c>
      <c r="J401">
        <v>23575.25</v>
      </c>
    </row>
    <row r="402" spans="1:10">
      <c r="A402" s="4">
        <v>45291</v>
      </c>
      <c r="B402" t="s">
        <v>3676</v>
      </c>
      <c r="C402" t="s">
        <v>3659</v>
      </c>
      <c r="D402" t="s">
        <v>2551</v>
      </c>
      <c r="E402" t="s">
        <v>1538</v>
      </c>
      <c r="F402" t="s">
        <v>3657</v>
      </c>
      <c r="G402" t="s">
        <v>3692</v>
      </c>
      <c r="H402">
        <v>11</v>
      </c>
      <c r="I402">
        <v>3314</v>
      </c>
      <c r="J402">
        <v>36454</v>
      </c>
    </row>
    <row r="403" spans="1:10">
      <c r="A403" s="4">
        <v>45055</v>
      </c>
      <c r="B403" t="s">
        <v>3683</v>
      </c>
      <c r="C403" t="s">
        <v>3655</v>
      </c>
      <c r="D403" t="s">
        <v>2552</v>
      </c>
      <c r="E403" t="s">
        <v>1537</v>
      </c>
      <c r="F403" t="s">
        <v>1517</v>
      </c>
      <c r="G403" t="s">
        <v>3672</v>
      </c>
      <c r="H403">
        <v>3</v>
      </c>
      <c r="I403">
        <v>4146.75</v>
      </c>
      <c r="J403">
        <v>12440.25</v>
      </c>
    </row>
    <row r="404" spans="1:10">
      <c r="A404" s="4">
        <v>45143</v>
      </c>
      <c r="B404" t="s">
        <v>3688</v>
      </c>
      <c r="C404" t="s">
        <v>3656</v>
      </c>
      <c r="D404" t="s">
        <v>2550</v>
      </c>
      <c r="E404" t="s">
        <v>1537</v>
      </c>
      <c r="F404" t="s">
        <v>1514</v>
      </c>
      <c r="G404" t="s">
        <v>3698</v>
      </c>
      <c r="H404">
        <v>4</v>
      </c>
      <c r="I404">
        <v>4062.52</v>
      </c>
      <c r="J404">
        <v>16250.08</v>
      </c>
    </row>
    <row r="405" spans="1:10">
      <c r="A405" s="4">
        <v>44993</v>
      </c>
      <c r="B405" t="s">
        <v>3688</v>
      </c>
      <c r="C405" t="s">
        <v>3662</v>
      </c>
      <c r="D405" t="s">
        <v>2552</v>
      </c>
      <c r="E405" t="s">
        <v>1537</v>
      </c>
      <c r="F405" t="s">
        <v>1514</v>
      </c>
      <c r="G405" t="s">
        <v>3698</v>
      </c>
      <c r="H405">
        <v>4</v>
      </c>
      <c r="I405">
        <v>3022.21</v>
      </c>
      <c r="J405">
        <v>12088.84</v>
      </c>
    </row>
    <row r="406" spans="1:10">
      <c r="A406" s="4">
        <v>44989</v>
      </c>
      <c r="B406" t="s">
        <v>3676</v>
      </c>
      <c r="C406" t="s">
        <v>3668</v>
      </c>
      <c r="D406" t="s">
        <v>2551</v>
      </c>
      <c r="E406" t="s">
        <v>1538</v>
      </c>
      <c r="F406" t="s">
        <v>3657</v>
      </c>
      <c r="G406" t="s">
        <v>3690</v>
      </c>
      <c r="H406">
        <v>7</v>
      </c>
      <c r="I406">
        <v>217.04</v>
      </c>
      <c r="J406">
        <v>1519.28</v>
      </c>
    </row>
    <row r="407" spans="1:10">
      <c r="A407" s="4">
        <v>45145</v>
      </c>
      <c r="B407" t="s">
        <v>3688</v>
      </c>
      <c r="C407" t="s">
        <v>3662</v>
      </c>
      <c r="D407" t="s">
        <v>2552</v>
      </c>
      <c r="E407" t="s">
        <v>1537</v>
      </c>
      <c r="F407" t="s">
        <v>3657</v>
      </c>
      <c r="G407" t="s">
        <v>3690</v>
      </c>
      <c r="H407">
        <v>2</v>
      </c>
      <c r="I407">
        <v>4883.5600000000004</v>
      </c>
      <c r="J407">
        <v>9767.1200000000008</v>
      </c>
    </row>
    <row r="408" spans="1:10">
      <c r="A408" s="4">
        <v>44949</v>
      </c>
      <c r="B408" t="s">
        <v>3691</v>
      </c>
      <c r="C408" t="s">
        <v>3664</v>
      </c>
      <c r="D408" t="s">
        <v>2548</v>
      </c>
      <c r="E408" t="s">
        <v>1535</v>
      </c>
      <c r="F408" t="s">
        <v>1514</v>
      </c>
      <c r="G408" t="s">
        <v>3697</v>
      </c>
      <c r="H408">
        <v>16</v>
      </c>
      <c r="I408">
        <v>2015.76</v>
      </c>
      <c r="J408">
        <v>32252.16</v>
      </c>
    </row>
    <row r="409" spans="1:10">
      <c r="A409" s="4">
        <v>45088</v>
      </c>
      <c r="B409" t="s">
        <v>3689</v>
      </c>
      <c r="C409" t="s">
        <v>3667</v>
      </c>
      <c r="D409" t="s">
        <v>2552</v>
      </c>
      <c r="E409" t="s">
        <v>1537</v>
      </c>
      <c r="F409" t="s">
        <v>3657</v>
      </c>
      <c r="G409" t="s">
        <v>3678</v>
      </c>
      <c r="H409">
        <v>1</v>
      </c>
      <c r="I409">
        <v>2777.22</v>
      </c>
      <c r="J409">
        <v>2777.22</v>
      </c>
    </row>
    <row r="410" spans="1:10">
      <c r="A410" s="4">
        <v>45279</v>
      </c>
      <c r="B410" t="s">
        <v>3675</v>
      </c>
      <c r="C410" t="s">
        <v>3667</v>
      </c>
      <c r="D410" t="s">
        <v>2552</v>
      </c>
      <c r="E410" t="s">
        <v>1537</v>
      </c>
      <c r="F410" t="s">
        <v>1517</v>
      </c>
      <c r="G410" t="s">
        <v>3693</v>
      </c>
      <c r="H410">
        <v>13</v>
      </c>
      <c r="I410">
        <v>4318.62</v>
      </c>
      <c r="J410">
        <v>56142.06</v>
      </c>
    </row>
    <row r="411" spans="1:10">
      <c r="A411" s="4">
        <v>45223</v>
      </c>
      <c r="B411" t="s">
        <v>3691</v>
      </c>
      <c r="C411" t="s">
        <v>3660</v>
      </c>
      <c r="D411" t="s">
        <v>2549</v>
      </c>
      <c r="E411" t="s">
        <v>1535</v>
      </c>
      <c r="F411" t="s">
        <v>1514</v>
      </c>
      <c r="G411" t="s">
        <v>3697</v>
      </c>
      <c r="H411">
        <v>15</v>
      </c>
      <c r="I411">
        <v>3225.2</v>
      </c>
      <c r="J411">
        <v>48378</v>
      </c>
    </row>
    <row r="412" spans="1:10">
      <c r="A412" s="4">
        <v>45160</v>
      </c>
      <c r="B412" t="s">
        <v>3683</v>
      </c>
      <c r="C412" t="s">
        <v>3660</v>
      </c>
      <c r="D412" t="s">
        <v>2549</v>
      </c>
      <c r="E412" t="s">
        <v>1535</v>
      </c>
      <c r="F412" t="s">
        <v>1514</v>
      </c>
      <c r="G412" t="s">
        <v>3697</v>
      </c>
      <c r="H412">
        <v>9</v>
      </c>
      <c r="I412">
        <v>631.99</v>
      </c>
      <c r="J412">
        <v>5687.91</v>
      </c>
    </row>
    <row r="413" spans="1:10">
      <c r="A413" s="4">
        <v>45051</v>
      </c>
      <c r="B413" t="s">
        <v>3679</v>
      </c>
      <c r="C413" t="s">
        <v>3668</v>
      </c>
      <c r="D413" t="s">
        <v>2551</v>
      </c>
      <c r="E413" t="s">
        <v>1538</v>
      </c>
      <c r="F413" t="s">
        <v>1518</v>
      </c>
      <c r="G413" t="s">
        <v>3696</v>
      </c>
      <c r="H413">
        <v>16</v>
      </c>
      <c r="I413">
        <v>981</v>
      </c>
      <c r="J413">
        <v>15696</v>
      </c>
    </row>
    <row r="414" spans="1:10">
      <c r="A414" s="4">
        <v>45089</v>
      </c>
      <c r="B414" t="s">
        <v>3689</v>
      </c>
      <c r="C414" t="s">
        <v>3663</v>
      </c>
      <c r="D414" t="s">
        <v>2548</v>
      </c>
      <c r="E414" t="s">
        <v>1535</v>
      </c>
      <c r="F414" t="s">
        <v>1514</v>
      </c>
      <c r="G414" t="s">
        <v>3685</v>
      </c>
      <c r="H414">
        <v>14</v>
      </c>
      <c r="I414">
        <v>1049.21</v>
      </c>
      <c r="J414">
        <v>14688.94</v>
      </c>
    </row>
    <row r="415" spans="1:10">
      <c r="A415" s="4">
        <v>45105</v>
      </c>
      <c r="B415" t="s">
        <v>3691</v>
      </c>
      <c r="C415" t="s">
        <v>3661</v>
      </c>
      <c r="D415" t="s">
        <v>2550</v>
      </c>
      <c r="E415" t="s">
        <v>1537</v>
      </c>
      <c r="F415" t="s">
        <v>1517</v>
      </c>
      <c r="G415" t="s">
        <v>3672</v>
      </c>
      <c r="H415">
        <v>3</v>
      </c>
      <c r="I415">
        <v>3276.84</v>
      </c>
      <c r="J415">
        <v>9830.52</v>
      </c>
    </row>
    <row r="416" spans="1:10">
      <c r="A416" s="4">
        <v>45148</v>
      </c>
      <c r="B416" t="s">
        <v>3679</v>
      </c>
      <c r="C416" t="s">
        <v>3654</v>
      </c>
      <c r="D416" t="s">
        <v>2549</v>
      </c>
      <c r="E416" t="s">
        <v>1535</v>
      </c>
      <c r="F416" t="s">
        <v>1514</v>
      </c>
      <c r="G416" t="s">
        <v>3682</v>
      </c>
      <c r="H416">
        <v>10</v>
      </c>
      <c r="I416">
        <v>1693.46</v>
      </c>
      <c r="J416">
        <v>16934.599999999999</v>
      </c>
    </row>
    <row r="417" spans="1:10">
      <c r="A417" s="4">
        <v>45256</v>
      </c>
      <c r="B417" t="s">
        <v>3689</v>
      </c>
      <c r="C417" t="s">
        <v>3659</v>
      </c>
      <c r="D417" t="s">
        <v>2551</v>
      </c>
      <c r="E417" t="s">
        <v>1538</v>
      </c>
      <c r="F417" t="s">
        <v>1518</v>
      </c>
      <c r="G417" t="s">
        <v>3696</v>
      </c>
      <c r="H417">
        <v>15</v>
      </c>
      <c r="I417">
        <v>1790.58</v>
      </c>
      <c r="J417">
        <v>26858.7</v>
      </c>
    </row>
    <row r="418" spans="1:10">
      <c r="A418" s="4">
        <v>45005</v>
      </c>
      <c r="B418" t="s">
        <v>3681</v>
      </c>
      <c r="C418" t="s">
        <v>3663</v>
      </c>
      <c r="D418" t="s">
        <v>2548</v>
      </c>
      <c r="E418" t="s">
        <v>1535</v>
      </c>
      <c r="F418" t="s">
        <v>1517</v>
      </c>
      <c r="G418" t="s">
        <v>3693</v>
      </c>
      <c r="H418">
        <v>16</v>
      </c>
      <c r="I418">
        <v>1018.83</v>
      </c>
      <c r="J418">
        <v>16301.28</v>
      </c>
    </row>
    <row r="419" spans="1:10">
      <c r="A419" s="4">
        <v>44964</v>
      </c>
      <c r="B419" t="s">
        <v>3683</v>
      </c>
      <c r="C419" t="s">
        <v>3662</v>
      </c>
      <c r="D419" t="s">
        <v>2552</v>
      </c>
      <c r="E419" t="s">
        <v>1537</v>
      </c>
      <c r="F419" t="s">
        <v>1514</v>
      </c>
      <c r="G419" t="s">
        <v>3698</v>
      </c>
      <c r="H419">
        <v>6</v>
      </c>
      <c r="I419">
        <v>1246.5899999999999</v>
      </c>
      <c r="J419">
        <v>7479.54</v>
      </c>
    </row>
    <row r="420" spans="1:10">
      <c r="A420" s="4">
        <v>44939</v>
      </c>
      <c r="B420" t="s">
        <v>3688</v>
      </c>
      <c r="C420" t="s">
        <v>3661</v>
      </c>
      <c r="D420" t="s">
        <v>2550</v>
      </c>
      <c r="E420" t="s">
        <v>1537</v>
      </c>
      <c r="F420" t="s">
        <v>3657</v>
      </c>
      <c r="G420" t="s">
        <v>3692</v>
      </c>
      <c r="H420">
        <v>14</v>
      </c>
      <c r="I420">
        <v>859.79</v>
      </c>
      <c r="J420">
        <v>12037.06</v>
      </c>
    </row>
    <row r="421" spans="1:10">
      <c r="A421" s="4">
        <v>45239</v>
      </c>
      <c r="B421" t="s">
        <v>3673</v>
      </c>
      <c r="C421" t="s">
        <v>3659</v>
      </c>
      <c r="D421" t="s">
        <v>2551</v>
      </c>
      <c r="E421" t="s">
        <v>1538</v>
      </c>
      <c r="F421" t="s">
        <v>1516</v>
      </c>
      <c r="G421" t="s">
        <v>3686</v>
      </c>
      <c r="H421">
        <v>12</v>
      </c>
      <c r="I421">
        <v>149.16</v>
      </c>
      <c r="J421">
        <v>1789.92</v>
      </c>
    </row>
    <row r="422" spans="1:10">
      <c r="A422" s="4">
        <v>45213</v>
      </c>
      <c r="B422" t="s">
        <v>3681</v>
      </c>
      <c r="C422" t="s">
        <v>3660</v>
      </c>
      <c r="D422" t="s">
        <v>2549</v>
      </c>
      <c r="E422" t="s">
        <v>1535</v>
      </c>
      <c r="F422" t="s">
        <v>1517</v>
      </c>
      <c r="G422" t="s">
        <v>3693</v>
      </c>
      <c r="H422">
        <v>20</v>
      </c>
      <c r="I422">
        <v>1108.83</v>
      </c>
      <c r="J422">
        <v>22176.6</v>
      </c>
    </row>
    <row r="423" spans="1:10">
      <c r="A423" s="4">
        <v>45002</v>
      </c>
      <c r="B423" t="s">
        <v>3683</v>
      </c>
      <c r="C423" t="s">
        <v>3667</v>
      </c>
      <c r="D423" t="s">
        <v>2552</v>
      </c>
      <c r="E423" t="s">
        <v>1537</v>
      </c>
      <c r="F423" t="s">
        <v>1517</v>
      </c>
      <c r="G423" t="s">
        <v>3701</v>
      </c>
      <c r="H423">
        <v>8</v>
      </c>
      <c r="I423">
        <v>3628.65</v>
      </c>
      <c r="J423">
        <v>29029.200000000001</v>
      </c>
    </row>
    <row r="424" spans="1:10">
      <c r="A424" s="4">
        <v>45283</v>
      </c>
      <c r="B424" t="s">
        <v>3673</v>
      </c>
      <c r="C424" t="s">
        <v>3663</v>
      </c>
      <c r="D424" t="s">
        <v>2548</v>
      </c>
      <c r="E424" t="s">
        <v>1535</v>
      </c>
      <c r="F424" t="s">
        <v>1516</v>
      </c>
      <c r="G424" t="s">
        <v>3686</v>
      </c>
      <c r="H424">
        <v>19</v>
      </c>
      <c r="I424">
        <v>1317.72</v>
      </c>
      <c r="J424">
        <v>25036.68</v>
      </c>
    </row>
    <row r="425" spans="1:10">
      <c r="A425" s="4">
        <v>44940</v>
      </c>
      <c r="B425" t="s">
        <v>3681</v>
      </c>
      <c r="C425" t="s">
        <v>3668</v>
      </c>
      <c r="D425" t="s">
        <v>2551</v>
      </c>
      <c r="E425" t="s">
        <v>1538</v>
      </c>
      <c r="F425" t="s">
        <v>1516</v>
      </c>
      <c r="G425" t="s">
        <v>3695</v>
      </c>
      <c r="H425">
        <v>16</v>
      </c>
      <c r="I425">
        <v>2995.01</v>
      </c>
      <c r="J425">
        <v>47920.160000000003</v>
      </c>
    </row>
    <row r="426" spans="1:10">
      <c r="A426" s="4">
        <v>45071</v>
      </c>
      <c r="B426" t="s">
        <v>3683</v>
      </c>
      <c r="C426" t="s">
        <v>3665</v>
      </c>
      <c r="D426" t="s">
        <v>2549</v>
      </c>
      <c r="E426" t="s">
        <v>1535</v>
      </c>
      <c r="F426" t="s">
        <v>1517</v>
      </c>
      <c r="G426" t="s">
        <v>3701</v>
      </c>
      <c r="H426">
        <v>11</v>
      </c>
      <c r="I426">
        <v>2318.96</v>
      </c>
      <c r="J426">
        <v>25508.560000000001</v>
      </c>
    </row>
    <row r="427" spans="1:10">
      <c r="A427" s="4">
        <v>45260</v>
      </c>
      <c r="B427" t="s">
        <v>3676</v>
      </c>
      <c r="C427" t="s">
        <v>3655</v>
      </c>
      <c r="D427" t="s">
        <v>2552</v>
      </c>
      <c r="E427" t="s">
        <v>1537</v>
      </c>
      <c r="F427" t="s">
        <v>3657</v>
      </c>
      <c r="G427" t="s">
        <v>3692</v>
      </c>
      <c r="H427">
        <v>14</v>
      </c>
      <c r="I427">
        <v>4935.3</v>
      </c>
      <c r="J427">
        <v>69094.2</v>
      </c>
    </row>
    <row r="428" spans="1:10">
      <c r="A428" s="4">
        <v>45189</v>
      </c>
      <c r="B428" t="s">
        <v>3689</v>
      </c>
      <c r="C428" t="s">
        <v>3662</v>
      </c>
      <c r="D428" t="s">
        <v>2552</v>
      </c>
      <c r="E428" t="s">
        <v>1537</v>
      </c>
      <c r="F428" t="s">
        <v>1517</v>
      </c>
      <c r="G428" t="s">
        <v>3693</v>
      </c>
      <c r="H428">
        <v>1</v>
      </c>
      <c r="I428">
        <v>1083.26</v>
      </c>
      <c r="J428">
        <v>1083.26</v>
      </c>
    </row>
    <row r="429" spans="1:10">
      <c r="A429" s="4">
        <v>45204</v>
      </c>
      <c r="B429" t="s">
        <v>3688</v>
      </c>
      <c r="C429" t="s">
        <v>3658</v>
      </c>
      <c r="D429" t="s">
        <v>2550</v>
      </c>
      <c r="E429" t="s">
        <v>1537</v>
      </c>
      <c r="F429" t="s">
        <v>1517</v>
      </c>
      <c r="G429" t="s">
        <v>3693</v>
      </c>
      <c r="H429">
        <v>11</v>
      </c>
      <c r="I429">
        <v>1673.53</v>
      </c>
      <c r="J429">
        <v>18408.830000000002</v>
      </c>
    </row>
    <row r="430" spans="1:10">
      <c r="A430" s="4">
        <v>45185</v>
      </c>
      <c r="B430" t="s">
        <v>3679</v>
      </c>
      <c r="C430" t="s">
        <v>3663</v>
      </c>
      <c r="D430" t="s">
        <v>2548</v>
      </c>
      <c r="E430" t="s">
        <v>1535</v>
      </c>
      <c r="F430" t="s">
        <v>1514</v>
      </c>
      <c r="G430" t="s">
        <v>3697</v>
      </c>
      <c r="H430">
        <v>10</v>
      </c>
      <c r="I430">
        <v>3829.38</v>
      </c>
      <c r="J430">
        <v>38293.800000000003</v>
      </c>
    </row>
    <row r="431" spans="1:10">
      <c r="A431" s="4">
        <v>45190</v>
      </c>
      <c r="B431" t="s">
        <v>3688</v>
      </c>
      <c r="C431" t="s">
        <v>3667</v>
      </c>
      <c r="D431" t="s">
        <v>2552</v>
      </c>
      <c r="E431" t="s">
        <v>1537</v>
      </c>
      <c r="F431" t="s">
        <v>1516</v>
      </c>
      <c r="G431" t="s">
        <v>3677</v>
      </c>
      <c r="H431">
        <v>6</v>
      </c>
      <c r="I431">
        <v>470.36</v>
      </c>
      <c r="J431">
        <v>2822.16</v>
      </c>
    </row>
    <row r="432" spans="1:10">
      <c r="A432" s="4">
        <v>45029</v>
      </c>
      <c r="B432" t="s">
        <v>3691</v>
      </c>
      <c r="C432" t="s">
        <v>3665</v>
      </c>
      <c r="D432" t="s">
        <v>2549</v>
      </c>
      <c r="E432" t="s">
        <v>1535</v>
      </c>
      <c r="F432" t="s">
        <v>1514</v>
      </c>
      <c r="G432" t="s">
        <v>3697</v>
      </c>
      <c r="H432">
        <v>12</v>
      </c>
      <c r="I432">
        <v>2489.14</v>
      </c>
      <c r="J432">
        <v>29869.68</v>
      </c>
    </row>
    <row r="433" spans="1:10">
      <c r="A433" s="4">
        <v>45157</v>
      </c>
      <c r="B433" t="s">
        <v>3688</v>
      </c>
      <c r="C433" t="s">
        <v>3667</v>
      </c>
      <c r="D433" t="s">
        <v>2552</v>
      </c>
      <c r="E433" t="s">
        <v>1537</v>
      </c>
      <c r="F433" t="s">
        <v>1516</v>
      </c>
      <c r="G433" t="s">
        <v>3695</v>
      </c>
      <c r="H433">
        <v>14</v>
      </c>
      <c r="I433">
        <v>1729.16</v>
      </c>
      <c r="J433">
        <v>24208.240000000002</v>
      </c>
    </row>
    <row r="434" spans="1:10">
      <c r="A434" s="4">
        <v>45276</v>
      </c>
      <c r="B434" t="s">
        <v>3673</v>
      </c>
      <c r="C434" t="s">
        <v>3656</v>
      </c>
      <c r="D434" t="s">
        <v>2550</v>
      </c>
      <c r="E434" t="s">
        <v>1537</v>
      </c>
      <c r="F434" t="s">
        <v>1518</v>
      </c>
      <c r="G434" t="s">
        <v>3696</v>
      </c>
      <c r="H434">
        <v>2</v>
      </c>
      <c r="I434">
        <v>2789.92</v>
      </c>
      <c r="J434">
        <v>5579.84</v>
      </c>
    </row>
    <row r="435" spans="1:10">
      <c r="A435" s="4">
        <v>45072</v>
      </c>
      <c r="B435" t="s">
        <v>3684</v>
      </c>
      <c r="C435" t="s">
        <v>3655</v>
      </c>
      <c r="D435" t="s">
        <v>2552</v>
      </c>
      <c r="E435" t="s">
        <v>1537</v>
      </c>
      <c r="F435" t="s">
        <v>1516</v>
      </c>
      <c r="G435" t="s">
        <v>3677</v>
      </c>
      <c r="H435">
        <v>17</v>
      </c>
      <c r="I435">
        <v>3244.79</v>
      </c>
      <c r="J435">
        <v>55161.43</v>
      </c>
    </row>
    <row r="436" spans="1:10">
      <c r="A436" s="4">
        <v>44971</v>
      </c>
      <c r="B436" t="s">
        <v>3676</v>
      </c>
      <c r="C436" t="s">
        <v>3662</v>
      </c>
      <c r="D436" t="s">
        <v>2552</v>
      </c>
      <c r="E436" t="s">
        <v>1537</v>
      </c>
      <c r="F436" t="s">
        <v>1518</v>
      </c>
      <c r="G436" t="s">
        <v>3674</v>
      </c>
      <c r="H436">
        <v>20</v>
      </c>
      <c r="I436">
        <v>2155.17</v>
      </c>
      <c r="J436">
        <v>43103.4</v>
      </c>
    </row>
    <row r="437" spans="1:10">
      <c r="A437" s="4">
        <v>45115</v>
      </c>
      <c r="B437" t="s">
        <v>3689</v>
      </c>
      <c r="C437" t="s">
        <v>3661</v>
      </c>
      <c r="D437" t="s">
        <v>2550</v>
      </c>
      <c r="E437" t="s">
        <v>1537</v>
      </c>
      <c r="F437" t="s">
        <v>3657</v>
      </c>
      <c r="G437" t="s">
        <v>3692</v>
      </c>
      <c r="H437">
        <v>13</v>
      </c>
      <c r="I437">
        <v>2526.1999999999998</v>
      </c>
      <c r="J437">
        <v>32840.6</v>
      </c>
    </row>
    <row r="438" spans="1:10">
      <c r="A438" s="4">
        <v>44950</v>
      </c>
      <c r="B438" t="s">
        <v>3684</v>
      </c>
      <c r="C438" t="s">
        <v>3658</v>
      </c>
      <c r="D438" t="s">
        <v>2550</v>
      </c>
      <c r="E438" t="s">
        <v>1537</v>
      </c>
      <c r="F438" t="s">
        <v>1514</v>
      </c>
      <c r="G438" t="s">
        <v>3685</v>
      </c>
      <c r="H438">
        <v>11</v>
      </c>
      <c r="I438">
        <v>1995.21</v>
      </c>
      <c r="J438">
        <v>21947.31</v>
      </c>
    </row>
    <row r="439" spans="1:10">
      <c r="A439" s="4">
        <v>44968</v>
      </c>
      <c r="B439" t="s">
        <v>3689</v>
      </c>
      <c r="C439" t="s">
        <v>3663</v>
      </c>
      <c r="D439" t="s">
        <v>2548</v>
      </c>
      <c r="E439" t="s">
        <v>1535</v>
      </c>
      <c r="F439" t="s">
        <v>1518</v>
      </c>
      <c r="G439" t="s">
        <v>3674</v>
      </c>
      <c r="H439">
        <v>4</v>
      </c>
      <c r="I439">
        <v>1139.74</v>
      </c>
      <c r="J439">
        <v>4558.96</v>
      </c>
    </row>
    <row r="440" spans="1:10">
      <c r="A440" s="4">
        <v>45137</v>
      </c>
      <c r="B440" t="s">
        <v>3691</v>
      </c>
      <c r="C440" t="s">
        <v>3668</v>
      </c>
      <c r="D440" t="s">
        <v>2551</v>
      </c>
      <c r="E440" t="s">
        <v>1538</v>
      </c>
      <c r="F440" t="s">
        <v>1517</v>
      </c>
      <c r="G440" t="s">
        <v>3699</v>
      </c>
      <c r="H440">
        <v>4</v>
      </c>
      <c r="I440">
        <v>3015.93</v>
      </c>
      <c r="J440">
        <v>12063.72</v>
      </c>
    </row>
    <row r="441" spans="1:10">
      <c r="A441" s="4">
        <v>45026</v>
      </c>
      <c r="B441" t="s">
        <v>3689</v>
      </c>
      <c r="C441" t="s">
        <v>3656</v>
      </c>
      <c r="D441" t="s">
        <v>2550</v>
      </c>
      <c r="E441" t="s">
        <v>1537</v>
      </c>
      <c r="F441" t="s">
        <v>1516</v>
      </c>
      <c r="G441" t="s">
        <v>3686</v>
      </c>
      <c r="H441">
        <v>4</v>
      </c>
      <c r="I441">
        <v>3831.39</v>
      </c>
      <c r="J441">
        <v>15325.56</v>
      </c>
    </row>
    <row r="442" spans="1:10">
      <c r="A442" s="4">
        <v>45077</v>
      </c>
      <c r="B442" t="s">
        <v>3673</v>
      </c>
      <c r="C442" t="s">
        <v>3654</v>
      </c>
      <c r="D442" t="s">
        <v>2549</v>
      </c>
      <c r="E442" t="s">
        <v>1535</v>
      </c>
      <c r="F442" t="s">
        <v>1516</v>
      </c>
      <c r="G442" t="s">
        <v>3677</v>
      </c>
      <c r="H442">
        <v>7</v>
      </c>
      <c r="I442">
        <v>105.05</v>
      </c>
      <c r="J442">
        <v>735.35</v>
      </c>
    </row>
    <row r="443" spans="1:10">
      <c r="A443" s="4">
        <v>45110</v>
      </c>
      <c r="B443" t="s">
        <v>3675</v>
      </c>
      <c r="C443" t="s">
        <v>3663</v>
      </c>
      <c r="D443" t="s">
        <v>2548</v>
      </c>
      <c r="E443" t="s">
        <v>1535</v>
      </c>
      <c r="F443" t="s">
        <v>1518</v>
      </c>
      <c r="G443" t="s">
        <v>3696</v>
      </c>
      <c r="H443">
        <v>11</v>
      </c>
      <c r="I443">
        <v>2416.1799999999998</v>
      </c>
      <c r="J443">
        <v>26577.98</v>
      </c>
    </row>
    <row r="444" spans="1:10">
      <c r="A444" s="4">
        <v>44941</v>
      </c>
      <c r="B444" t="s">
        <v>3683</v>
      </c>
      <c r="C444" t="s">
        <v>3663</v>
      </c>
      <c r="D444" t="s">
        <v>2548</v>
      </c>
      <c r="E444" t="s">
        <v>1535</v>
      </c>
      <c r="F444" t="s">
        <v>1518</v>
      </c>
      <c r="G444" t="s">
        <v>3696</v>
      </c>
      <c r="H444">
        <v>1</v>
      </c>
      <c r="I444">
        <v>549.14</v>
      </c>
      <c r="J444">
        <v>549.14</v>
      </c>
    </row>
    <row r="445" spans="1:10">
      <c r="A445" s="4">
        <v>45076</v>
      </c>
      <c r="B445" t="s">
        <v>3683</v>
      </c>
      <c r="C445" t="s">
        <v>3658</v>
      </c>
      <c r="D445" t="s">
        <v>2550</v>
      </c>
      <c r="E445" t="s">
        <v>1537</v>
      </c>
      <c r="F445" t="s">
        <v>3657</v>
      </c>
      <c r="G445" t="s">
        <v>3678</v>
      </c>
      <c r="H445">
        <v>10</v>
      </c>
      <c r="I445">
        <v>3771.5</v>
      </c>
      <c r="J445">
        <v>37715</v>
      </c>
    </row>
    <row r="446" spans="1:10">
      <c r="A446" s="4">
        <v>45213</v>
      </c>
      <c r="B446" t="s">
        <v>3675</v>
      </c>
      <c r="C446" t="s">
        <v>3663</v>
      </c>
      <c r="D446" t="s">
        <v>2548</v>
      </c>
      <c r="E446" t="s">
        <v>1535</v>
      </c>
      <c r="F446" t="s">
        <v>1517</v>
      </c>
      <c r="G446" t="s">
        <v>3699</v>
      </c>
      <c r="H446">
        <v>13</v>
      </c>
      <c r="I446">
        <v>956.49</v>
      </c>
      <c r="J446">
        <v>12434.37</v>
      </c>
    </row>
    <row r="447" spans="1:10">
      <c r="A447" s="4">
        <v>44956</v>
      </c>
      <c r="B447" t="s">
        <v>3676</v>
      </c>
      <c r="C447" t="s">
        <v>3667</v>
      </c>
      <c r="D447" t="s">
        <v>2552</v>
      </c>
      <c r="E447" t="s">
        <v>1537</v>
      </c>
      <c r="F447" t="s">
        <v>1517</v>
      </c>
      <c r="G447" t="s">
        <v>3693</v>
      </c>
      <c r="H447">
        <v>19</v>
      </c>
      <c r="I447">
        <v>3575.92</v>
      </c>
      <c r="J447">
        <v>67942.48</v>
      </c>
    </row>
    <row r="448" spans="1:10">
      <c r="A448" s="4">
        <v>45095</v>
      </c>
      <c r="B448" t="s">
        <v>3689</v>
      </c>
      <c r="C448" t="s">
        <v>3666</v>
      </c>
      <c r="D448" t="s">
        <v>2548</v>
      </c>
      <c r="E448" t="s">
        <v>1535</v>
      </c>
      <c r="F448" t="s">
        <v>1514</v>
      </c>
      <c r="G448" t="s">
        <v>3697</v>
      </c>
      <c r="H448">
        <v>8</v>
      </c>
      <c r="I448">
        <v>3971.12</v>
      </c>
      <c r="J448">
        <v>31768.959999999999</v>
      </c>
    </row>
    <row r="449" spans="1:10">
      <c r="A449" s="4">
        <v>45160</v>
      </c>
      <c r="B449" t="s">
        <v>3681</v>
      </c>
      <c r="C449" t="s">
        <v>3658</v>
      </c>
      <c r="D449" t="s">
        <v>2550</v>
      </c>
      <c r="E449" t="s">
        <v>1537</v>
      </c>
      <c r="F449" t="s">
        <v>1516</v>
      </c>
      <c r="G449" t="s">
        <v>3687</v>
      </c>
      <c r="H449">
        <v>14</v>
      </c>
      <c r="I449">
        <v>3631.62</v>
      </c>
      <c r="J449">
        <v>50842.68</v>
      </c>
    </row>
    <row r="450" spans="1:10">
      <c r="A450" s="4">
        <v>45047</v>
      </c>
      <c r="B450" t="s">
        <v>3688</v>
      </c>
      <c r="C450" t="s">
        <v>3660</v>
      </c>
      <c r="D450" t="s">
        <v>2549</v>
      </c>
      <c r="E450" t="s">
        <v>1535</v>
      </c>
      <c r="F450" t="s">
        <v>1517</v>
      </c>
      <c r="G450" t="s">
        <v>3693</v>
      </c>
      <c r="H450">
        <v>18</v>
      </c>
      <c r="I450">
        <v>2589.64</v>
      </c>
      <c r="J450">
        <v>46613.52</v>
      </c>
    </row>
    <row r="451" spans="1:10">
      <c r="A451" s="4">
        <v>45173</v>
      </c>
      <c r="B451" t="s">
        <v>3681</v>
      </c>
      <c r="C451" t="s">
        <v>3666</v>
      </c>
      <c r="D451" t="s">
        <v>2548</v>
      </c>
      <c r="E451" t="s">
        <v>1535</v>
      </c>
      <c r="F451" t="s">
        <v>3657</v>
      </c>
      <c r="G451" t="s">
        <v>3692</v>
      </c>
      <c r="H451">
        <v>2</v>
      </c>
      <c r="I451">
        <v>2713.34</v>
      </c>
      <c r="J451">
        <v>5426.68</v>
      </c>
    </row>
    <row r="452" spans="1:10">
      <c r="A452" s="4">
        <v>45259</v>
      </c>
      <c r="B452" t="s">
        <v>3683</v>
      </c>
      <c r="C452" t="s">
        <v>3667</v>
      </c>
      <c r="D452" t="s">
        <v>2552</v>
      </c>
      <c r="E452" t="s">
        <v>1537</v>
      </c>
      <c r="F452" t="s">
        <v>1518</v>
      </c>
      <c r="G452" t="s">
        <v>3674</v>
      </c>
      <c r="H452">
        <v>17</v>
      </c>
      <c r="I452">
        <v>1294.56</v>
      </c>
      <c r="J452">
        <v>22007.52</v>
      </c>
    </row>
    <row r="453" spans="1:10">
      <c r="A453" s="4">
        <v>45229</v>
      </c>
      <c r="B453" t="s">
        <v>3681</v>
      </c>
      <c r="C453" t="s">
        <v>3659</v>
      </c>
      <c r="D453" t="s">
        <v>2551</v>
      </c>
      <c r="E453" t="s">
        <v>1538</v>
      </c>
      <c r="F453" t="s">
        <v>1518</v>
      </c>
      <c r="G453" t="s">
        <v>3674</v>
      </c>
      <c r="H453">
        <v>8</v>
      </c>
      <c r="I453">
        <v>1171.53</v>
      </c>
      <c r="J453">
        <v>9372.24</v>
      </c>
    </row>
    <row r="454" spans="1:10">
      <c r="A454" s="4">
        <v>44943</v>
      </c>
      <c r="B454" t="s">
        <v>3688</v>
      </c>
      <c r="C454" t="s">
        <v>3669</v>
      </c>
      <c r="D454" t="s">
        <v>2551</v>
      </c>
      <c r="E454" t="s">
        <v>1538</v>
      </c>
      <c r="F454" t="s">
        <v>1516</v>
      </c>
      <c r="G454" t="s">
        <v>3695</v>
      </c>
      <c r="H454">
        <v>15</v>
      </c>
      <c r="I454">
        <v>4060.63</v>
      </c>
      <c r="J454">
        <v>60909.45</v>
      </c>
    </row>
    <row r="455" spans="1:10">
      <c r="A455" s="4">
        <v>45028</v>
      </c>
      <c r="B455" t="s">
        <v>3683</v>
      </c>
      <c r="C455" t="s">
        <v>3660</v>
      </c>
      <c r="D455" t="s">
        <v>2549</v>
      </c>
      <c r="E455" t="s">
        <v>1535</v>
      </c>
      <c r="F455" t="s">
        <v>3657</v>
      </c>
      <c r="G455" t="s">
        <v>3678</v>
      </c>
      <c r="H455">
        <v>4</v>
      </c>
      <c r="I455">
        <v>442.23</v>
      </c>
      <c r="J455">
        <v>1768.92</v>
      </c>
    </row>
    <row r="456" spans="1:10">
      <c r="A456" s="4">
        <v>45260</v>
      </c>
      <c r="B456" t="s">
        <v>3688</v>
      </c>
      <c r="C456" t="s">
        <v>3660</v>
      </c>
      <c r="D456" t="s">
        <v>2549</v>
      </c>
      <c r="E456" t="s">
        <v>1535</v>
      </c>
      <c r="F456" t="s">
        <v>1518</v>
      </c>
      <c r="G456" t="s">
        <v>3680</v>
      </c>
      <c r="H456">
        <v>5</v>
      </c>
      <c r="I456">
        <v>3725.36</v>
      </c>
      <c r="J456">
        <v>18626.8</v>
      </c>
    </row>
    <row r="457" spans="1:10">
      <c r="A457" s="4">
        <v>44940</v>
      </c>
      <c r="B457" t="s">
        <v>3688</v>
      </c>
      <c r="C457" t="s">
        <v>3663</v>
      </c>
      <c r="D457" t="s">
        <v>2548</v>
      </c>
      <c r="E457" t="s">
        <v>1535</v>
      </c>
      <c r="F457" t="s">
        <v>1516</v>
      </c>
      <c r="G457" t="s">
        <v>3677</v>
      </c>
      <c r="H457">
        <v>20</v>
      </c>
      <c r="I457">
        <v>2974.89</v>
      </c>
      <c r="J457">
        <v>59497.8</v>
      </c>
    </row>
    <row r="458" spans="1:10">
      <c r="A458" s="4">
        <v>45110</v>
      </c>
      <c r="B458" t="s">
        <v>3688</v>
      </c>
      <c r="C458" t="s">
        <v>3658</v>
      </c>
      <c r="D458" t="s">
        <v>2550</v>
      </c>
      <c r="E458" t="s">
        <v>1537</v>
      </c>
      <c r="F458" t="s">
        <v>1516</v>
      </c>
      <c r="G458" t="s">
        <v>3695</v>
      </c>
      <c r="H458">
        <v>1</v>
      </c>
      <c r="I458">
        <v>1717.6</v>
      </c>
      <c r="J458">
        <v>1717.6</v>
      </c>
    </row>
    <row r="459" spans="1:10">
      <c r="A459" s="4">
        <v>44991</v>
      </c>
      <c r="B459" t="s">
        <v>3684</v>
      </c>
      <c r="C459" t="s">
        <v>3659</v>
      </c>
      <c r="D459" t="s">
        <v>2551</v>
      </c>
      <c r="E459" t="s">
        <v>1538</v>
      </c>
      <c r="F459" t="s">
        <v>1517</v>
      </c>
      <c r="G459" t="s">
        <v>3701</v>
      </c>
      <c r="H459">
        <v>5</v>
      </c>
      <c r="I459">
        <v>2849.56</v>
      </c>
      <c r="J459">
        <v>14247.8</v>
      </c>
    </row>
    <row r="460" spans="1:10">
      <c r="A460" s="4">
        <v>45190</v>
      </c>
      <c r="B460" t="s">
        <v>3673</v>
      </c>
      <c r="C460" t="s">
        <v>3666</v>
      </c>
      <c r="D460" t="s">
        <v>2548</v>
      </c>
      <c r="E460" t="s">
        <v>1535</v>
      </c>
      <c r="F460" t="s">
        <v>1518</v>
      </c>
      <c r="G460" t="s">
        <v>3674</v>
      </c>
      <c r="H460">
        <v>18</v>
      </c>
      <c r="I460">
        <v>4150.7700000000004</v>
      </c>
      <c r="J460">
        <v>74713.86</v>
      </c>
    </row>
    <row r="461" spans="1:10">
      <c r="A461" s="4">
        <v>45134</v>
      </c>
      <c r="B461" t="s">
        <v>3684</v>
      </c>
      <c r="C461" t="s">
        <v>3665</v>
      </c>
      <c r="D461" t="s">
        <v>2549</v>
      </c>
      <c r="E461" t="s">
        <v>1535</v>
      </c>
      <c r="F461" t="s">
        <v>1518</v>
      </c>
      <c r="G461" t="s">
        <v>3700</v>
      </c>
      <c r="H461">
        <v>18</v>
      </c>
      <c r="I461">
        <v>2490.14</v>
      </c>
      <c r="J461">
        <v>44822.52</v>
      </c>
    </row>
    <row r="462" spans="1:10">
      <c r="A462" s="4">
        <v>44945</v>
      </c>
      <c r="B462" t="s">
        <v>3684</v>
      </c>
      <c r="C462" t="s">
        <v>3668</v>
      </c>
      <c r="D462" t="s">
        <v>2551</v>
      </c>
      <c r="E462" t="s">
        <v>1538</v>
      </c>
      <c r="F462" t="s">
        <v>1518</v>
      </c>
      <c r="G462" t="s">
        <v>3674</v>
      </c>
      <c r="H462">
        <v>17</v>
      </c>
      <c r="I462">
        <v>500.54</v>
      </c>
      <c r="J462">
        <v>8509.18</v>
      </c>
    </row>
    <row r="463" spans="1:10">
      <c r="A463" s="4">
        <v>45091</v>
      </c>
      <c r="B463" t="s">
        <v>3691</v>
      </c>
      <c r="C463" t="s">
        <v>3669</v>
      </c>
      <c r="D463" t="s">
        <v>2551</v>
      </c>
      <c r="E463" t="s">
        <v>1538</v>
      </c>
      <c r="F463" t="s">
        <v>1514</v>
      </c>
      <c r="G463" t="s">
        <v>3697</v>
      </c>
      <c r="H463">
        <v>19</v>
      </c>
      <c r="I463">
        <v>1067.94</v>
      </c>
      <c r="J463">
        <v>20290.86</v>
      </c>
    </row>
    <row r="464" spans="1:10">
      <c r="A464" s="4">
        <v>45244</v>
      </c>
      <c r="B464" t="s">
        <v>3691</v>
      </c>
      <c r="C464" t="s">
        <v>3662</v>
      </c>
      <c r="D464" t="s">
        <v>2552</v>
      </c>
      <c r="E464" t="s">
        <v>1537</v>
      </c>
      <c r="F464" t="s">
        <v>3657</v>
      </c>
      <c r="G464" t="s">
        <v>3692</v>
      </c>
      <c r="H464">
        <v>7</v>
      </c>
      <c r="I464">
        <v>2264.87</v>
      </c>
      <c r="J464">
        <v>15854.09</v>
      </c>
    </row>
    <row r="465" spans="1:10">
      <c r="A465" s="4">
        <v>44969</v>
      </c>
      <c r="B465" t="s">
        <v>3675</v>
      </c>
      <c r="C465" t="s">
        <v>3668</v>
      </c>
      <c r="D465" t="s">
        <v>2551</v>
      </c>
      <c r="E465" t="s">
        <v>1538</v>
      </c>
      <c r="F465" t="s">
        <v>3657</v>
      </c>
      <c r="G465" t="s">
        <v>3690</v>
      </c>
      <c r="H465">
        <v>18</v>
      </c>
      <c r="I465">
        <v>2584.0700000000002</v>
      </c>
      <c r="J465">
        <v>46513.26</v>
      </c>
    </row>
    <row r="466" spans="1:10">
      <c r="A466" s="4">
        <v>45091</v>
      </c>
      <c r="B466" t="s">
        <v>3691</v>
      </c>
      <c r="C466" t="s">
        <v>3667</v>
      </c>
      <c r="D466" t="s">
        <v>2552</v>
      </c>
      <c r="E466" t="s">
        <v>1537</v>
      </c>
      <c r="F466" t="s">
        <v>1518</v>
      </c>
      <c r="G466" t="s">
        <v>3696</v>
      </c>
      <c r="H466">
        <v>13</v>
      </c>
      <c r="I466">
        <v>4621.13</v>
      </c>
      <c r="J466">
        <v>60074.69</v>
      </c>
    </row>
    <row r="467" spans="1:10">
      <c r="A467" s="4">
        <v>45181</v>
      </c>
      <c r="B467" t="s">
        <v>3675</v>
      </c>
      <c r="C467" t="s">
        <v>3668</v>
      </c>
      <c r="D467" t="s">
        <v>2551</v>
      </c>
      <c r="E467" t="s">
        <v>1538</v>
      </c>
      <c r="F467" t="s">
        <v>3657</v>
      </c>
      <c r="G467" t="s">
        <v>3678</v>
      </c>
      <c r="H467">
        <v>16</v>
      </c>
      <c r="I467">
        <v>4826.2</v>
      </c>
      <c r="J467">
        <v>77219.199999999997</v>
      </c>
    </row>
    <row r="468" spans="1:10">
      <c r="A468" s="4">
        <v>45082</v>
      </c>
      <c r="B468" t="s">
        <v>3681</v>
      </c>
      <c r="C468" t="s">
        <v>3655</v>
      </c>
      <c r="D468" t="s">
        <v>2552</v>
      </c>
      <c r="E468" t="s">
        <v>1537</v>
      </c>
      <c r="F468" t="s">
        <v>1514</v>
      </c>
      <c r="G468" t="s">
        <v>3685</v>
      </c>
      <c r="H468">
        <v>5</v>
      </c>
      <c r="I468">
        <v>4773.5600000000004</v>
      </c>
      <c r="J468">
        <v>23867.8</v>
      </c>
    </row>
    <row r="469" spans="1:10">
      <c r="A469" s="4">
        <v>45075</v>
      </c>
      <c r="B469" t="s">
        <v>3691</v>
      </c>
      <c r="C469" t="s">
        <v>3658</v>
      </c>
      <c r="D469" t="s">
        <v>2550</v>
      </c>
      <c r="E469" t="s">
        <v>1537</v>
      </c>
      <c r="F469" t="s">
        <v>3657</v>
      </c>
      <c r="G469" t="s">
        <v>3692</v>
      </c>
      <c r="H469">
        <v>9</v>
      </c>
      <c r="I469">
        <v>3220.44</v>
      </c>
      <c r="J469">
        <v>28983.96</v>
      </c>
    </row>
    <row r="470" spans="1:10">
      <c r="A470" s="4">
        <v>44953</v>
      </c>
      <c r="B470" t="s">
        <v>3691</v>
      </c>
      <c r="C470" t="s">
        <v>3656</v>
      </c>
      <c r="D470" t="s">
        <v>2550</v>
      </c>
      <c r="E470" t="s">
        <v>1537</v>
      </c>
      <c r="F470" t="s">
        <v>3657</v>
      </c>
      <c r="G470" t="s">
        <v>3690</v>
      </c>
      <c r="H470">
        <v>15</v>
      </c>
      <c r="I470">
        <v>4945.79</v>
      </c>
      <c r="J470">
        <v>74186.850000000006</v>
      </c>
    </row>
    <row r="471" spans="1:10">
      <c r="A471" s="4">
        <v>44965</v>
      </c>
      <c r="B471" t="s">
        <v>3679</v>
      </c>
      <c r="C471" t="s">
        <v>3661</v>
      </c>
      <c r="D471" t="s">
        <v>2550</v>
      </c>
      <c r="E471" t="s">
        <v>1537</v>
      </c>
      <c r="F471" t="s">
        <v>1516</v>
      </c>
      <c r="G471" t="s">
        <v>3695</v>
      </c>
      <c r="H471">
        <v>14</v>
      </c>
      <c r="I471">
        <v>2355.56</v>
      </c>
      <c r="J471">
        <v>32977.839999999997</v>
      </c>
    </row>
    <row r="472" spans="1:10">
      <c r="A472" s="4">
        <v>45277</v>
      </c>
      <c r="B472" t="s">
        <v>3675</v>
      </c>
      <c r="C472" t="s">
        <v>3663</v>
      </c>
      <c r="D472" t="s">
        <v>2548</v>
      </c>
      <c r="E472" t="s">
        <v>1535</v>
      </c>
      <c r="F472" t="s">
        <v>1516</v>
      </c>
      <c r="G472" t="s">
        <v>3686</v>
      </c>
      <c r="H472">
        <v>4</v>
      </c>
      <c r="I472">
        <v>4412.41</v>
      </c>
      <c r="J472">
        <v>17649.64</v>
      </c>
    </row>
    <row r="473" spans="1:10">
      <c r="A473" s="4">
        <v>45011</v>
      </c>
      <c r="B473" t="s">
        <v>3688</v>
      </c>
      <c r="C473" t="s">
        <v>3669</v>
      </c>
      <c r="D473" t="s">
        <v>2551</v>
      </c>
      <c r="E473" t="s">
        <v>1538</v>
      </c>
      <c r="F473" t="s">
        <v>1518</v>
      </c>
      <c r="G473" t="s">
        <v>3696</v>
      </c>
      <c r="H473">
        <v>5</v>
      </c>
      <c r="I473">
        <v>355.6</v>
      </c>
      <c r="J473">
        <v>1778</v>
      </c>
    </row>
    <row r="474" spans="1:10">
      <c r="A474" s="4">
        <v>45168</v>
      </c>
      <c r="B474" t="s">
        <v>3679</v>
      </c>
      <c r="C474" t="s">
        <v>3660</v>
      </c>
      <c r="D474" t="s">
        <v>2549</v>
      </c>
      <c r="E474" t="s">
        <v>1535</v>
      </c>
      <c r="F474" t="s">
        <v>1514</v>
      </c>
      <c r="G474" t="s">
        <v>3682</v>
      </c>
      <c r="H474">
        <v>12</v>
      </c>
      <c r="I474">
        <v>4405.1899999999996</v>
      </c>
      <c r="J474">
        <v>52862.28</v>
      </c>
    </row>
    <row r="475" spans="1:10">
      <c r="A475" s="4">
        <v>45123</v>
      </c>
      <c r="B475" t="s">
        <v>3675</v>
      </c>
      <c r="C475" t="s">
        <v>3659</v>
      </c>
      <c r="D475" t="s">
        <v>2551</v>
      </c>
      <c r="E475" t="s">
        <v>1538</v>
      </c>
      <c r="F475" t="s">
        <v>3657</v>
      </c>
      <c r="G475" t="s">
        <v>3690</v>
      </c>
      <c r="H475">
        <v>9</v>
      </c>
      <c r="I475">
        <v>877.89</v>
      </c>
      <c r="J475">
        <v>7901.01</v>
      </c>
    </row>
    <row r="476" spans="1:10">
      <c r="A476" s="4">
        <v>45195</v>
      </c>
      <c r="B476" t="s">
        <v>3675</v>
      </c>
      <c r="C476" t="s">
        <v>3664</v>
      </c>
      <c r="D476" t="s">
        <v>2548</v>
      </c>
      <c r="E476" t="s">
        <v>1535</v>
      </c>
      <c r="F476" t="s">
        <v>1516</v>
      </c>
      <c r="G476" t="s">
        <v>3686</v>
      </c>
      <c r="H476">
        <v>1</v>
      </c>
      <c r="I476">
        <v>2970.66</v>
      </c>
      <c r="J476">
        <v>2970.66</v>
      </c>
    </row>
    <row r="477" spans="1:10">
      <c r="A477" s="4">
        <v>44940</v>
      </c>
      <c r="B477" t="s">
        <v>3684</v>
      </c>
      <c r="C477" t="s">
        <v>3660</v>
      </c>
      <c r="D477" t="s">
        <v>2549</v>
      </c>
      <c r="E477" t="s">
        <v>1535</v>
      </c>
      <c r="F477" t="s">
        <v>1517</v>
      </c>
      <c r="G477" t="s">
        <v>3699</v>
      </c>
      <c r="H477">
        <v>15</v>
      </c>
      <c r="I477">
        <v>3579.98</v>
      </c>
      <c r="J477">
        <v>53699.7</v>
      </c>
    </row>
    <row r="478" spans="1:10">
      <c r="A478" s="4">
        <v>45204</v>
      </c>
      <c r="B478" t="s">
        <v>3691</v>
      </c>
      <c r="C478" t="s">
        <v>3664</v>
      </c>
      <c r="D478" t="s">
        <v>2548</v>
      </c>
      <c r="E478" t="s">
        <v>1535</v>
      </c>
      <c r="F478" t="s">
        <v>1514</v>
      </c>
      <c r="G478" t="s">
        <v>3685</v>
      </c>
      <c r="H478">
        <v>9</v>
      </c>
      <c r="I478">
        <v>1605.02</v>
      </c>
      <c r="J478">
        <v>14445.18</v>
      </c>
    </row>
    <row r="479" spans="1:10">
      <c r="A479" s="4">
        <v>45230</v>
      </c>
      <c r="B479" t="s">
        <v>3673</v>
      </c>
      <c r="C479" t="s">
        <v>3656</v>
      </c>
      <c r="D479" t="s">
        <v>2550</v>
      </c>
      <c r="E479" t="s">
        <v>1537</v>
      </c>
      <c r="F479" t="s">
        <v>1514</v>
      </c>
      <c r="G479" t="s">
        <v>3682</v>
      </c>
      <c r="H479">
        <v>12</v>
      </c>
      <c r="I479">
        <v>1982.64</v>
      </c>
      <c r="J479">
        <v>23791.68</v>
      </c>
    </row>
    <row r="480" spans="1:10">
      <c r="A480" s="4">
        <v>45034</v>
      </c>
      <c r="B480" t="s">
        <v>3689</v>
      </c>
      <c r="C480" t="s">
        <v>3664</v>
      </c>
      <c r="D480" t="s">
        <v>2548</v>
      </c>
      <c r="E480" t="s">
        <v>1535</v>
      </c>
      <c r="F480" t="s">
        <v>1518</v>
      </c>
      <c r="G480" t="s">
        <v>3700</v>
      </c>
      <c r="H480">
        <v>20</v>
      </c>
      <c r="I480">
        <v>3195.53</v>
      </c>
      <c r="J480">
        <v>63910.6</v>
      </c>
    </row>
    <row r="481" spans="1:10">
      <c r="A481" s="4">
        <v>45116</v>
      </c>
      <c r="B481" t="s">
        <v>3691</v>
      </c>
      <c r="C481" t="s">
        <v>3663</v>
      </c>
      <c r="D481" t="s">
        <v>2548</v>
      </c>
      <c r="E481" t="s">
        <v>1535</v>
      </c>
      <c r="F481" t="s">
        <v>3657</v>
      </c>
      <c r="G481" t="s">
        <v>3692</v>
      </c>
      <c r="H481">
        <v>20</v>
      </c>
      <c r="I481">
        <v>1580.59</v>
      </c>
      <c r="J481">
        <v>31611.8</v>
      </c>
    </row>
    <row r="482" spans="1:10">
      <c r="A482" s="4">
        <v>45224</v>
      </c>
      <c r="B482" t="s">
        <v>3679</v>
      </c>
      <c r="C482" t="s">
        <v>3662</v>
      </c>
      <c r="D482" t="s">
        <v>2552</v>
      </c>
      <c r="E482" t="s">
        <v>1537</v>
      </c>
      <c r="F482" t="s">
        <v>1514</v>
      </c>
      <c r="G482" t="s">
        <v>3697</v>
      </c>
      <c r="H482">
        <v>6</v>
      </c>
      <c r="I482">
        <v>809.57</v>
      </c>
      <c r="J482">
        <v>4857.42</v>
      </c>
    </row>
    <row r="483" spans="1:10">
      <c r="A483" s="4">
        <v>44978</v>
      </c>
      <c r="B483" t="s">
        <v>3684</v>
      </c>
      <c r="C483" t="s">
        <v>3665</v>
      </c>
      <c r="D483" t="s">
        <v>2549</v>
      </c>
      <c r="E483" t="s">
        <v>1535</v>
      </c>
      <c r="F483" t="s">
        <v>1518</v>
      </c>
      <c r="G483" t="s">
        <v>3680</v>
      </c>
      <c r="H483">
        <v>6</v>
      </c>
      <c r="I483">
        <v>1221.52</v>
      </c>
      <c r="J483">
        <v>7329.12</v>
      </c>
    </row>
    <row r="484" spans="1:10">
      <c r="A484" s="4">
        <v>45143</v>
      </c>
      <c r="B484" t="s">
        <v>3676</v>
      </c>
      <c r="C484" t="s">
        <v>3655</v>
      </c>
      <c r="D484" t="s">
        <v>2552</v>
      </c>
      <c r="E484" t="s">
        <v>1537</v>
      </c>
      <c r="F484" t="s">
        <v>1517</v>
      </c>
      <c r="G484" t="s">
        <v>3672</v>
      </c>
      <c r="H484">
        <v>4</v>
      </c>
      <c r="I484">
        <v>2457.5</v>
      </c>
      <c r="J484">
        <v>9830</v>
      </c>
    </row>
    <row r="485" spans="1:10">
      <c r="A485" s="4">
        <v>45145</v>
      </c>
      <c r="B485" t="s">
        <v>3676</v>
      </c>
      <c r="C485" t="s">
        <v>3662</v>
      </c>
      <c r="D485" t="s">
        <v>2552</v>
      </c>
      <c r="E485" t="s">
        <v>1537</v>
      </c>
      <c r="F485" t="s">
        <v>1518</v>
      </c>
      <c r="G485" t="s">
        <v>3700</v>
      </c>
      <c r="H485">
        <v>12</v>
      </c>
      <c r="I485">
        <v>2820.88</v>
      </c>
      <c r="J485">
        <v>33850.559999999998</v>
      </c>
    </row>
    <row r="486" spans="1:10">
      <c r="A486" s="4">
        <v>45054</v>
      </c>
      <c r="B486" t="s">
        <v>3689</v>
      </c>
      <c r="C486" t="s">
        <v>3654</v>
      </c>
      <c r="D486" t="s">
        <v>2549</v>
      </c>
      <c r="E486" t="s">
        <v>1535</v>
      </c>
      <c r="F486" t="s">
        <v>1518</v>
      </c>
      <c r="G486" t="s">
        <v>3674</v>
      </c>
      <c r="H486">
        <v>10</v>
      </c>
      <c r="I486">
        <v>1512.64</v>
      </c>
      <c r="J486">
        <v>15126.4</v>
      </c>
    </row>
    <row r="487" spans="1:10">
      <c r="A487" s="4">
        <v>45034</v>
      </c>
      <c r="B487" t="s">
        <v>3683</v>
      </c>
      <c r="C487" t="s">
        <v>3669</v>
      </c>
      <c r="D487" t="s">
        <v>2551</v>
      </c>
      <c r="E487" t="s">
        <v>1538</v>
      </c>
      <c r="F487" t="s">
        <v>3657</v>
      </c>
      <c r="G487" t="s">
        <v>3678</v>
      </c>
      <c r="H487">
        <v>5</v>
      </c>
      <c r="I487">
        <v>3199.14</v>
      </c>
      <c r="J487">
        <v>15995.7</v>
      </c>
    </row>
    <row r="488" spans="1:10">
      <c r="A488" s="4">
        <v>45251</v>
      </c>
      <c r="B488" t="s">
        <v>3673</v>
      </c>
      <c r="C488" t="s">
        <v>3663</v>
      </c>
      <c r="D488" t="s">
        <v>2548</v>
      </c>
      <c r="E488" t="s">
        <v>1535</v>
      </c>
      <c r="F488" t="s">
        <v>1514</v>
      </c>
      <c r="G488" t="s">
        <v>3698</v>
      </c>
      <c r="H488">
        <v>11</v>
      </c>
      <c r="I488">
        <v>4315</v>
      </c>
      <c r="J488">
        <v>47465</v>
      </c>
    </row>
    <row r="489" spans="1:10">
      <c r="A489" s="4">
        <v>45235</v>
      </c>
      <c r="B489" t="s">
        <v>3675</v>
      </c>
      <c r="C489" t="s">
        <v>3660</v>
      </c>
      <c r="D489" t="s">
        <v>2549</v>
      </c>
      <c r="E489" t="s">
        <v>1535</v>
      </c>
      <c r="F489" t="s">
        <v>3657</v>
      </c>
      <c r="G489" t="s">
        <v>3692</v>
      </c>
      <c r="H489">
        <v>9</v>
      </c>
      <c r="I489">
        <v>2118.17</v>
      </c>
      <c r="J489">
        <v>19063.53</v>
      </c>
    </row>
    <row r="490" spans="1:10">
      <c r="A490" s="4">
        <v>44930</v>
      </c>
      <c r="B490" t="s">
        <v>3691</v>
      </c>
      <c r="C490" t="s">
        <v>3669</v>
      </c>
      <c r="D490" t="s">
        <v>2551</v>
      </c>
      <c r="E490" t="s">
        <v>1538</v>
      </c>
      <c r="F490" t="s">
        <v>1518</v>
      </c>
      <c r="G490" t="s">
        <v>3680</v>
      </c>
      <c r="H490">
        <v>18</v>
      </c>
      <c r="I490">
        <v>1042.99</v>
      </c>
      <c r="J490">
        <v>18773.82</v>
      </c>
    </row>
    <row r="491" spans="1:10">
      <c r="A491" s="4">
        <v>45247</v>
      </c>
      <c r="B491" t="s">
        <v>3675</v>
      </c>
      <c r="C491" t="s">
        <v>3668</v>
      </c>
      <c r="D491" t="s">
        <v>2551</v>
      </c>
      <c r="E491" t="s">
        <v>1538</v>
      </c>
      <c r="F491" t="s">
        <v>1514</v>
      </c>
      <c r="G491" t="s">
        <v>3698</v>
      </c>
      <c r="H491">
        <v>6</v>
      </c>
      <c r="I491">
        <v>4707.38</v>
      </c>
      <c r="J491">
        <v>28244.28</v>
      </c>
    </row>
    <row r="492" spans="1:10">
      <c r="A492" s="4">
        <v>45246</v>
      </c>
      <c r="B492" t="s">
        <v>3681</v>
      </c>
      <c r="C492" t="s">
        <v>3660</v>
      </c>
      <c r="D492" t="s">
        <v>2549</v>
      </c>
      <c r="E492" t="s">
        <v>1535</v>
      </c>
      <c r="F492" t="s">
        <v>3657</v>
      </c>
      <c r="G492" t="s">
        <v>3692</v>
      </c>
      <c r="H492">
        <v>8</v>
      </c>
      <c r="I492">
        <v>360.87</v>
      </c>
      <c r="J492">
        <v>2886.96</v>
      </c>
    </row>
    <row r="493" spans="1:10">
      <c r="A493" s="4">
        <v>44965</v>
      </c>
      <c r="B493" t="s">
        <v>3679</v>
      </c>
      <c r="C493" t="s">
        <v>3656</v>
      </c>
      <c r="D493" t="s">
        <v>2550</v>
      </c>
      <c r="E493" t="s">
        <v>1537</v>
      </c>
      <c r="F493" t="s">
        <v>1518</v>
      </c>
      <c r="G493" t="s">
        <v>3696</v>
      </c>
      <c r="H493">
        <v>12</v>
      </c>
      <c r="I493">
        <v>2519.65</v>
      </c>
      <c r="J493">
        <v>30235.8</v>
      </c>
    </row>
    <row r="494" spans="1:10">
      <c r="A494" s="4">
        <v>45116</v>
      </c>
      <c r="B494" t="s">
        <v>3676</v>
      </c>
      <c r="C494" t="s">
        <v>3669</v>
      </c>
      <c r="D494" t="s">
        <v>2551</v>
      </c>
      <c r="E494" t="s">
        <v>1538</v>
      </c>
      <c r="F494" t="s">
        <v>1518</v>
      </c>
      <c r="G494" t="s">
        <v>3680</v>
      </c>
      <c r="H494">
        <v>7</v>
      </c>
      <c r="I494">
        <v>2861.67</v>
      </c>
      <c r="J494">
        <v>20031.689999999999</v>
      </c>
    </row>
    <row r="495" spans="1:10">
      <c r="A495" s="4">
        <v>45104</v>
      </c>
      <c r="B495" t="s">
        <v>3676</v>
      </c>
      <c r="C495" t="s">
        <v>3659</v>
      </c>
      <c r="D495" t="s">
        <v>2551</v>
      </c>
      <c r="E495" t="s">
        <v>1538</v>
      </c>
      <c r="F495" t="s">
        <v>3657</v>
      </c>
      <c r="G495" t="s">
        <v>3690</v>
      </c>
      <c r="H495">
        <v>11</v>
      </c>
      <c r="I495">
        <v>4896.83</v>
      </c>
      <c r="J495">
        <v>53865.13</v>
      </c>
    </row>
    <row r="496" spans="1:10">
      <c r="A496" s="4">
        <v>45091</v>
      </c>
      <c r="B496" t="s">
        <v>3675</v>
      </c>
      <c r="C496" t="s">
        <v>3663</v>
      </c>
      <c r="D496" t="s">
        <v>2548</v>
      </c>
      <c r="E496" t="s">
        <v>1535</v>
      </c>
      <c r="F496" t="s">
        <v>1514</v>
      </c>
      <c r="G496" t="s">
        <v>3685</v>
      </c>
      <c r="H496">
        <v>15</v>
      </c>
      <c r="I496">
        <v>4180.6099999999997</v>
      </c>
      <c r="J496">
        <v>62709.15</v>
      </c>
    </row>
    <row r="497" spans="1:10">
      <c r="A497" s="4">
        <v>45271</v>
      </c>
      <c r="B497" t="s">
        <v>3683</v>
      </c>
      <c r="C497" t="s">
        <v>3668</v>
      </c>
      <c r="D497" t="s">
        <v>2551</v>
      </c>
      <c r="E497" t="s">
        <v>1538</v>
      </c>
      <c r="F497" t="s">
        <v>3657</v>
      </c>
      <c r="G497" t="s">
        <v>3678</v>
      </c>
      <c r="H497">
        <v>2</v>
      </c>
      <c r="I497">
        <v>3747.71</v>
      </c>
      <c r="J497">
        <v>7495.42</v>
      </c>
    </row>
    <row r="498" spans="1:10">
      <c r="A498" s="4">
        <v>45153</v>
      </c>
      <c r="B498" t="s">
        <v>3689</v>
      </c>
      <c r="C498" t="s">
        <v>3668</v>
      </c>
      <c r="D498" t="s">
        <v>2551</v>
      </c>
      <c r="E498" t="s">
        <v>1538</v>
      </c>
      <c r="F498" t="s">
        <v>1518</v>
      </c>
      <c r="G498" t="s">
        <v>3696</v>
      </c>
      <c r="H498">
        <v>3</v>
      </c>
      <c r="I498">
        <v>2792.38</v>
      </c>
      <c r="J498">
        <v>8377.14</v>
      </c>
    </row>
    <row r="499" spans="1:10">
      <c r="A499" s="4">
        <v>45264</v>
      </c>
      <c r="B499" t="s">
        <v>3681</v>
      </c>
      <c r="C499" t="s">
        <v>3654</v>
      </c>
      <c r="D499" t="s">
        <v>2549</v>
      </c>
      <c r="E499" t="s">
        <v>1535</v>
      </c>
      <c r="F499" t="s">
        <v>1514</v>
      </c>
      <c r="G499" t="s">
        <v>3685</v>
      </c>
      <c r="H499">
        <v>17</v>
      </c>
      <c r="I499">
        <v>683.31</v>
      </c>
      <c r="J499">
        <v>11616.27</v>
      </c>
    </row>
    <row r="500" spans="1:10">
      <c r="A500" s="4">
        <v>44929</v>
      </c>
      <c r="B500" t="s">
        <v>3683</v>
      </c>
      <c r="C500" t="s">
        <v>3659</v>
      </c>
      <c r="D500" t="s">
        <v>2551</v>
      </c>
      <c r="E500" t="s">
        <v>1538</v>
      </c>
      <c r="F500" t="s">
        <v>1516</v>
      </c>
      <c r="G500" t="s">
        <v>3687</v>
      </c>
      <c r="H500">
        <v>20</v>
      </c>
      <c r="I500">
        <v>3463.6</v>
      </c>
      <c r="J500">
        <v>69272</v>
      </c>
    </row>
    <row r="501" spans="1:10">
      <c r="A501" s="4">
        <v>45183</v>
      </c>
      <c r="B501" t="s">
        <v>3679</v>
      </c>
      <c r="C501" t="s">
        <v>3655</v>
      </c>
      <c r="D501" t="s">
        <v>2552</v>
      </c>
      <c r="E501" t="s">
        <v>1537</v>
      </c>
      <c r="F501" t="s">
        <v>1518</v>
      </c>
      <c r="G501" t="s">
        <v>3700</v>
      </c>
      <c r="H501">
        <v>9</v>
      </c>
      <c r="I501">
        <v>1609.98</v>
      </c>
      <c r="J501">
        <v>14489.82</v>
      </c>
    </row>
    <row r="502" spans="1:10">
      <c r="A502" s="4">
        <v>45113</v>
      </c>
      <c r="B502" t="s">
        <v>3675</v>
      </c>
      <c r="C502" t="s">
        <v>3654</v>
      </c>
      <c r="D502" t="s">
        <v>2549</v>
      </c>
      <c r="E502" t="s">
        <v>1535</v>
      </c>
      <c r="F502" t="s">
        <v>1518</v>
      </c>
      <c r="G502" t="s">
        <v>3696</v>
      </c>
      <c r="H502">
        <v>4</v>
      </c>
      <c r="I502">
        <v>2836.34</v>
      </c>
      <c r="J502">
        <v>11345.36</v>
      </c>
    </row>
    <row r="503" spans="1:10">
      <c r="A503" s="4">
        <v>44956</v>
      </c>
      <c r="B503" t="s">
        <v>3688</v>
      </c>
      <c r="C503" t="s">
        <v>3663</v>
      </c>
      <c r="D503" t="s">
        <v>2548</v>
      </c>
      <c r="E503" t="s">
        <v>1535</v>
      </c>
      <c r="F503" t="s">
        <v>1514</v>
      </c>
      <c r="G503" t="s">
        <v>3697</v>
      </c>
      <c r="H503">
        <v>18</v>
      </c>
      <c r="I503">
        <v>3238.98</v>
      </c>
      <c r="J503">
        <v>58301.64</v>
      </c>
    </row>
    <row r="504" spans="1:10">
      <c r="A504" s="4">
        <v>45152</v>
      </c>
      <c r="B504" t="s">
        <v>3679</v>
      </c>
      <c r="C504" t="s">
        <v>3655</v>
      </c>
      <c r="D504" t="s">
        <v>2552</v>
      </c>
      <c r="E504" t="s">
        <v>1537</v>
      </c>
      <c r="F504" t="s">
        <v>1517</v>
      </c>
      <c r="G504" t="s">
        <v>3699</v>
      </c>
      <c r="H504">
        <v>20</v>
      </c>
      <c r="I504">
        <v>2791.25</v>
      </c>
      <c r="J504">
        <v>55825</v>
      </c>
    </row>
    <row r="505" spans="1:10">
      <c r="A505" s="4">
        <v>45276</v>
      </c>
      <c r="B505" t="s">
        <v>3675</v>
      </c>
      <c r="C505" t="s">
        <v>3666</v>
      </c>
      <c r="D505" t="s">
        <v>2548</v>
      </c>
      <c r="E505" t="s">
        <v>1535</v>
      </c>
      <c r="F505" t="s">
        <v>1516</v>
      </c>
      <c r="G505" t="s">
        <v>3677</v>
      </c>
      <c r="H505">
        <v>1</v>
      </c>
      <c r="I505">
        <v>3165.04</v>
      </c>
      <c r="J505">
        <v>3165.04</v>
      </c>
    </row>
    <row r="506" spans="1:10">
      <c r="A506" s="4">
        <v>45206</v>
      </c>
      <c r="B506" t="s">
        <v>3675</v>
      </c>
      <c r="C506" t="s">
        <v>3660</v>
      </c>
      <c r="D506" t="s">
        <v>2549</v>
      </c>
      <c r="E506" t="s">
        <v>1535</v>
      </c>
      <c r="F506" t="s">
        <v>1518</v>
      </c>
      <c r="G506" t="s">
        <v>3674</v>
      </c>
      <c r="H506">
        <v>14</v>
      </c>
      <c r="I506">
        <v>3414.59</v>
      </c>
      <c r="J506">
        <v>47804.26</v>
      </c>
    </row>
    <row r="507" spans="1:10">
      <c r="A507" s="4">
        <v>45210</v>
      </c>
      <c r="B507" t="s">
        <v>3684</v>
      </c>
      <c r="C507" t="s">
        <v>3665</v>
      </c>
      <c r="D507" t="s">
        <v>2549</v>
      </c>
      <c r="E507" t="s">
        <v>1535</v>
      </c>
      <c r="F507" t="s">
        <v>1514</v>
      </c>
      <c r="G507" t="s">
        <v>3697</v>
      </c>
      <c r="H507">
        <v>4</v>
      </c>
      <c r="I507">
        <v>3896.69</v>
      </c>
      <c r="J507">
        <v>15586.76</v>
      </c>
    </row>
    <row r="508" spans="1:10">
      <c r="A508" s="4">
        <v>45165</v>
      </c>
      <c r="B508" t="s">
        <v>3679</v>
      </c>
      <c r="C508" t="s">
        <v>3658</v>
      </c>
      <c r="D508" t="s">
        <v>2550</v>
      </c>
      <c r="E508" t="s">
        <v>1537</v>
      </c>
      <c r="F508" t="s">
        <v>1516</v>
      </c>
      <c r="G508" t="s">
        <v>3695</v>
      </c>
      <c r="H508">
        <v>5</v>
      </c>
      <c r="I508">
        <v>2024.36</v>
      </c>
      <c r="J508">
        <v>10121.799999999999</v>
      </c>
    </row>
    <row r="509" spans="1:10">
      <c r="A509" s="4">
        <v>45148</v>
      </c>
      <c r="B509" t="s">
        <v>3681</v>
      </c>
      <c r="C509" t="s">
        <v>3669</v>
      </c>
      <c r="D509" t="s">
        <v>2551</v>
      </c>
      <c r="E509" t="s">
        <v>1538</v>
      </c>
      <c r="F509" t="s">
        <v>1516</v>
      </c>
      <c r="G509" t="s">
        <v>3677</v>
      </c>
      <c r="H509">
        <v>17</v>
      </c>
      <c r="I509">
        <v>102.62</v>
      </c>
      <c r="J509">
        <v>1744.54</v>
      </c>
    </row>
    <row r="510" spans="1:10">
      <c r="A510" s="4">
        <v>44985</v>
      </c>
      <c r="B510" t="s">
        <v>3679</v>
      </c>
      <c r="C510" t="s">
        <v>3666</v>
      </c>
      <c r="D510" t="s">
        <v>2548</v>
      </c>
      <c r="E510" t="s">
        <v>1535</v>
      </c>
      <c r="F510" t="s">
        <v>1518</v>
      </c>
      <c r="G510" t="s">
        <v>3674</v>
      </c>
      <c r="H510">
        <v>7</v>
      </c>
      <c r="I510">
        <v>146.52000000000001</v>
      </c>
      <c r="J510">
        <v>1025.6400000000001</v>
      </c>
    </row>
    <row r="511" spans="1:10">
      <c r="A511" s="4">
        <v>45273</v>
      </c>
      <c r="B511" t="s">
        <v>3681</v>
      </c>
      <c r="C511" t="s">
        <v>3669</v>
      </c>
      <c r="D511" t="s">
        <v>2551</v>
      </c>
      <c r="E511" t="s">
        <v>1538</v>
      </c>
      <c r="F511" t="s">
        <v>1517</v>
      </c>
      <c r="G511" t="s">
        <v>3699</v>
      </c>
      <c r="H511">
        <v>2</v>
      </c>
      <c r="I511">
        <v>4248</v>
      </c>
      <c r="J511">
        <v>8496</v>
      </c>
    </row>
    <row r="512" spans="1:10">
      <c r="A512" s="4">
        <v>44986</v>
      </c>
      <c r="B512" t="s">
        <v>3691</v>
      </c>
      <c r="C512" t="s">
        <v>3660</v>
      </c>
      <c r="D512" t="s">
        <v>2549</v>
      </c>
      <c r="E512" t="s">
        <v>1535</v>
      </c>
      <c r="F512" t="s">
        <v>1516</v>
      </c>
      <c r="G512" t="s">
        <v>3677</v>
      </c>
      <c r="H512">
        <v>8</v>
      </c>
      <c r="I512">
        <v>3075.58</v>
      </c>
      <c r="J512">
        <v>24604.639999999999</v>
      </c>
    </row>
    <row r="513" spans="1:10">
      <c r="A513" s="4">
        <v>44985</v>
      </c>
      <c r="B513" t="s">
        <v>3683</v>
      </c>
      <c r="C513" t="s">
        <v>3659</v>
      </c>
      <c r="D513" t="s">
        <v>2551</v>
      </c>
      <c r="E513" t="s">
        <v>1538</v>
      </c>
      <c r="F513" t="s">
        <v>3657</v>
      </c>
      <c r="G513" t="s">
        <v>3678</v>
      </c>
      <c r="H513">
        <v>13</v>
      </c>
      <c r="I513">
        <v>1246.1400000000001</v>
      </c>
      <c r="J513">
        <v>16199.82</v>
      </c>
    </row>
    <row r="514" spans="1:10">
      <c r="A514" s="4">
        <v>45171</v>
      </c>
      <c r="B514" t="s">
        <v>3689</v>
      </c>
      <c r="C514" t="s">
        <v>3661</v>
      </c>
      <c r="D514" t="s">
        <v>2550</v>
      </c>
      <c r="E514" t="s">
        <v>1537</v>
      </c>
      <c r="F514" t="s">
        <v>1514</v>
      </c>
      <c r="G514" t="s">
        <v>3682</v>
      </c>
      <c r="H514">
        <v>16</v>
      </c>
      <c r="I514">
        <v>3942.95</v>
      </c>
      <c r="J514">
        <v>63087.199999999997</v>
      </c>
    </row>
    <row r="515" spans="1:10">
      <c r="A515" s="4">
        <v>44996</v>
      </c>
      <c r="B515" t="s">
        <v>3691</v>
      </c>
      <c r="C515" t="s">
        <v>3659</v>
      </c>
      <c r="D515" t="s">
        <v>2551</v>
      </c>
      <c r="E515" t="s">
        <v>1538</v>
      </c>
      <c r="F515" t="s">
        <v>1518</v>
      </c>
      <c r="G515" t="s">
        <v>3700</v>
      </c>
      <c r="H515">
        <v>1</v>
      </c>
      <c r="I515">
        <v>936.56</v>
      </c>
      <c r="J515">
        <v>936.56</v>
      </c>
    </row>
    <row r="516" spans="1:10">
      <c r="A516" s="4">
        <v>45243</v>
      </c>
      <c r="B516" t="s">
        <v>3684</v>
      </c>
      <c r="C516" t="s">
        <v>3669</v>
      </c>
      <c r="D516" t="s">
        <v>2551</v>
      </c>
      <c r="E516" t="s">
        <v>1538</v>
      </c>
      <c r="F516" t="s">
        <v>1516</v>
      </c>
      <c r="G516" t="s">
        <v>3677</v>
      </c>
      <c r="H516">
        <v>7</v>
      </c>
      <c r="I516">
        <v>1628.68</v>
      </c>
      <c r="J516">
        <v>11400.76</v>
      </c>
    </row>
    <row r="517" spans="1:10">
      <c r="A517" s="4">
        <v>45138</v>
      </c>
      <c r="B517" t="s">
        <v>3688</v>
      </c>
      <c r="C517" t="s">
        <v>3666</v>
      </c>
      <c r="D517" t="s">
        <v>2548</v>
      </c>
      <c r="E517" t="s">
        <v>1535</v>
      </c>
      <c r="F517" t="s">
        <v>1518</v>
      </c>
      <c r="G517" t="s">
        <v>3680</v>
      </c>
      <c r="H517">
        <v>10</v>
      </c>
      <c r="I517">
        <v>3400.28</v>
      </c>
      <c r="J517">
        <v>34002.800000000003</v>
      </c>
    </row>
    <row r="518" spans="1:10">
      <c r="A518" s="4">
        <v>45022</v>
      </c>
      <c r="B518" t="s">
        <v>3681</v>
      </c>
      <c r="C518" t="s">
        <v>3662</v>
      </c>
      <c r="D518" t="s">
        <v>2552</v>
      </c>
      <c r="E518" t="s">
        <v>1537</v>
      </c>
      <c r="F518" t="s">
        <v>1518</v>
      </c>
      <c r="G518" t="s">
        <v>3696</v>
      </c>
      <c r="H518">
        <v>18</v>
      </c>
      <c r="I518">
        <v>2722.99</v>
      </c>
      <c r="J518">
        <v>49013.82</v>
      </c>
    </row>
    <row r="519" spans="1:10">
      <c r="A519" s="4">
        <v>45052</v>
      </c>
      <c r="B519" t="s">
        <v>3676</v>
      </c>
      <c r="C519" t="s">
        <v>3667</v>
      </c>
      <c r="D519" t="s">
        <v>2552</v>
      </c>
      <c r="E519" t="s">
        <v>1537</v>
      </c>
      <c r="F519" t="s">
        <v>3657</v>
      </c>
      <c r="G519" t="s">
        <v>3692</v>
      </c>
      <c r="H519">
        <v>8</v>
      </c>
      <c r="I519">
        <v>4612.53</v>
      </c>
      <c r="J519">
        <v>36900.239999999998</v>
      </c>
    </row>
    <row r="520" spans="1:10">
      <c r="A520" s="4">
        <v>45065</v>
      </c>
      <c r="B520" t="s">
        <v>3681</v>
      </c>
      <c r="C520" t="s">
        <v>3660</v>
      </c>
      <c r="D520" t="s">
        <v>2549</v>
      </c>
      <c r="E520" t="s">
        <v>1535</v>
      </c>
      <c r="F520" t="s">
        <v>3657</v>
      </c>
      <c r="G520" t="s">
        <v>3678</v>
      </c>
      <c r="H520">
        <v>13</v>
      </c>
      <c r="I520">
        <v>2040.1</v>
      </c>
      <c r="J520">
        <v>26521.3</v>
      </c>
    </row>
    <row r="521" spans="1:10">
      <c r="A521" s="4">
        <v>45037</v>
      </c>
      <c r="B521" t="s">
        <v>3683</v>
      </c>
      <c r="C521" t="s">
        <v>3662</v>
      </c>
      <c r="D521" t="s">
        <v>2552</v>
      </c>
      <c r="E521" t="s">
        <v>1537</v>
      </c>
      <c r="F521" t="s">
        <v>1514</v>
      </c>
      <c r="G521" t="s">
        <v>3698</v>
      </c>
      <c r="H521">
        <v>17</v>
      </c>
      <c r="I521">
        <v>1122.98</v>
      </c>
      <c r="J521">
        <v>19090.66</v>
      </c>
    </row>
    <row r="522" spans="1:10">
      <c r="A522" s="4">
        <v>45234</v>
      </c>
      <c r="B522" t="s">
        <v>3679</v>
      </c>
      <c r="C522" t="s">
        <v>3660</v>
      </c>
      <c r="D522" t="s">
        <v>2549</v>
      </c>
      <c r="E522" t="s">
        <v>1535</v>
      </c>
      <c r="F522" t="s">
        <v>3657</v>
      </c>
      <c r="G522" t="s">
        <v>3678</v>
      </c>
      <c r="H522">
        <v>16</v>
      </c>
      <c r="I522">
        <v>2458.6</v>
      </c>
      <c r="J522">
        <v>39337.599999999999</v>
      </c>
    </row>
    <row r="523" spans="1:10">
      <c r="A523" s="4">
        <v>45197</v>
      </c>
      <c r="B523" t="s">
        <v>3691</v>
      </c>
      <c r="C523" t="s">
        <v>3660</v>
      </c>
      <c r="D523" t="s">
        <v>2549</v>
      </c>
      <c r="E523" t="s">
        <v>1535</v>
      </c>
      <c r="F523" t="s">
        <v>1517</v>
      </c>
      <c r="G523" t="s">
        <v>3693</v>
      </c>
      <c r="H523">
        <v>9</v>
      </c>
      <c r="I523">
        <v>3195.18</v>
      </c>
      <c r="J523">
        <v>28756.62</v>
      </c>
    </row>
    <row r="524" spans="1:10">
      <c r="A524" s="4">
        <v>45203</v>
      </c>
      <c r="B524" t="s">
        <v>3679</v>
      </c>
      <c r="C524" t="s">
        <v>3661</v>
      </c>
      <c r="D524" t="s">
        <v>2550</v>
      </c>
      <c r="E524" t="s">
        <v>1537</v>
      </c>
      <c r="F524" t="s">
        <v>1517</v>
      </c>
      <c r="G524" t="s">
        <v>3699</v>
      </c>
      <c r="H524">
        <v>3</v>
      </c>
      <c r="I524">
        <v>384.96</v>
      </c>
      <c r="J524">
        <v>1154.8800000000001</v>
      </c>
    </row>
    <row r="525" spans="1:10">
      <c r="A525" s="4">
        <v>44980</v>
      </c>
      <c r="B525" t="s">
        <v>3684</v>
      </c>
      <c r="C525" t="s">
        <v>3660</v>
      </c>
      <c r="D525" t="s">
        <v>2549</v>
      </c>
      <c r="E525" t="s">
        <v>1535</v>
      </c>
      <c r="F525" t="s">
        <v>3657</v>
      </c>
      <c r="G525" t="s">
        <v>3690</v>
      </c>
      <c r="H525">
        <v>4</v>
      </c>
      <c r="I525">
        <v>3714.59</v>
      </c>
      <c r="J525">
        <v>14858.36</v>
      </c>
    </row>
    <row r="526" spans="1:10">
      <c r="A526" s="4">
        <v>45096</v>
      </c>
      <c r="B526" t="s">
        <v>3691</v>
      </c>
      <c r="C526" t="s">
        <v>3667</v>
      </c>
      <c r="D526" t="s">
        <v>2552</v>
      </c>
      <c r="E526" t="s">
        <v>1537</v>
      </c>
      <c r="F526" t="s">
        <v>3657</v>
      </c>
      <c r="G526" t="s">
        <v>3694</v>
      </c>
      <c r="H526">
        <v>9</v>
      </c>
      <c r="I526">
        <v>1765.86</v>
      </c>
      <c r="J526">
        <v>15892.74</v>
      </c>
    </row>
    <row r="527" spans="1:10">
      <c r="A527" s="4">
        <v>45114</v>
      </c>
      <c r="B527" t="s">
        <v>3673</v>
      </c>
      <c r="C527" t="s">
        <v>3663</v>
      </c>
      <c r="D527" t="s">
        <v>2548</v>
      </c>
      <c r="E527" t="s">
        <v>1535</v>
      </c>
      <c r="F527" t="s">
        <v>3657</v>
      </c>
      <c r="G527" t="s">
        <v>3690</v>
      </c>
      <c r="H527">
        <v>8</v>
      </c>
      <c r="I527">
        <v>3069.86</v>
      </c>
      <c r="J527">
        <v>24558.880000000001</v>
      </c>
    </row>
    <row r="528" spans="1:10">
      <c r="A528" s="4">
        <v>45157</v>
      </c>
      <c r="B528" t="s">
        <v>3688</v>
      </c>
      <c r="C528" t="s">
        <v>3668</v>
      </c>
      <c r="D528" t="s">
        <v>2551</v>
      </c>
      <c r="E528" t="s">
        <v>1538</v>
      </c>
      <c r="F528" t="s">
        <v>1517</v>
      </c>
      <c r="G528" t="s">
        <v>3672</v>
      </c>
      <c r="H528">
        <v>9</v>
      </c>
      <c r="I528">
        <v>1720.47</v>
      </c>
      <c r="J528">
        <v>15484.23</v>
      </c>
    </row>
    <row r="529" spans="1:10">
      <c r="A529" s="4">
        <v>45125</v>
      </c>
      <c r="B529" t="s">
        <v>3681</v>
      </c>
      <c r="C529" t="s">
        <v>3655</v>
      </c>
      <c r="D529" t="s">
        <v>2552</v>
      </c>
      <c r="E529" t="s">
        <v>1537</v>
      </c>
      <c r="F529" t="s">
        <v>1516</v>
      </c>
      <c r="G529" t="s">
        <v>3686</v>
      </c>
      <c r="H529">
        <v>7</v>
      </c>
      <c r="I529">
        <v>3416.74</v>
      </c>
      <c r="J529">
        <v>23917.18</v>
      </c>
    </row>
    <row r="530" spans="1:10">
      <c r="A530" s="4">
        <v>45186</v>
      </c>
      <c r="B530" t="s">
        <v>3688</v>
      </c>
      <c r="C530" t="s">
        <v>3655</v>
      </c>
      <c r="D530" t="s">
        <v>2552</v>
      </c>
      <c r="E530" t="s">
        <v>1537</v>
      </c>
      <c r="F530" t="s">
        <v>1517</v>
      </c>
      <c r="G530" t="s">
        <v>3672</v>
      </c>
      <c r="H530">
        <v>7</v>
      </c>
      <c r="I530">
        <v>4741.12</v>
      </c>
      <c r="J530">
        <v>33187.839999999997</v>
      </c>
    </row>
    <row r="531" spans="1:10">
      <c r="A531" s="4">
        <v>45087</v>
      </c>
      <c r="B531" t="s">
        <v>3689</v>
      </c>
      <c r="C531" t="s">
        <v>3668</v>
      </c>
      <c r="D531" t="s">
        <v>2551</v>
      </c>
      <c r="E531" t="s">
        <v>1538</v>
      </c>
      <c r="F531" t="s">
        <v>1516</v>
      </c>
      <c r="G531" t="s">
        <v>3687</v>
      </c>
      <c r="H531">
        <v>20</v>
      </c>
      <c r="I531">
        <v>2721.24</v>
      </c>
      <c r="J531">
        <v>54424.800000000003</v>
      </c>
    </row>
    <row r="532" spans="1:10">
      <c r="A532" s="4">
        <v>45131</v>
      </c>
      <c r="B532" t="s">
        <v>3684</v>
      </c>
      <c r="C532" t="s">
        <v>3663</v>
      </c>
      <c r="D532" t="s">
        <v>2548</v>
      </c>
      <c r="E532" t="s">
        <v>1535</v>
      </c>
      <c r="F532" t="s">
        <v>1514</v>
      </c>
      <c r="G532" t="s">
        <v>3685</v>
      </c>
      <c r="H532">
        <v>4</v>
      </c>
      <c r="I532">
        <v>3751.49</v>
      </c>
      <c r="J532">
        <v>15005.96</v>
      </c>
    </row>
    <row r="533" spans="1:10">
      <c r="A533" s="4">
        <v>45037</v>
      </c>
      <c r="B533" t="s">
        <v>3691</v>
      </c>
      <c r="C533" t="s">
        <v>3662</v>
      </c>
      <c r="D533" t="s">
        <v>2552</v>
      </c>
      <c r="E533" t="s">
        <v>1537</v>
      </c>
      <c r="F533" t="s">
        <v>1516</v>
      </c>
      <c r="G533" t="s">
        <v>3695</v>
      </c>
      <c r="H533">
        <v>19</v>
      </c>
      <c r="I533">
        <v>4513.6000000000004</v>
      </c>
      <c r="J533">
        <v>85758.399999999994</v>
      </c>
    </row>
    <row r="534" spans="1:10">
      <c r="A534" s="4">
        <v>44937</v>
      </c>
      <c r="B534" t="s">
        <v>3689</v>
      </c>
      <c r="C534" t="s">
        <v>3661</v>
      </c>
      <c r="D534" t="s">
        <v>2550</v>
      </c>
      <c r="E534" t="s">
        <v>1537</v>
      </c>
      <c r="F534" t="s">
        <v>1517</v>
      </c>
      <c r="G534" t="s">
        <v>3701</v>
      </c>
      <c r="H534">
        <v>11</v>
      </c>
      <c r="I534">
        <v>3514.12</v>
      </c>
      <c r="J534">
        <v>38655.32</v>
      </c>
    </row>
    <row r="535" spans="1:10">
      <c r="A535" s="4">
        <v>45273</v>
      </c>
      <c r="B535" t="s">
        <v>3688</v>
      </c>
      <c r="C535" t="s">
        <v>3655</v>
      </c>
      <c r="D535" t="s">
        <v>2552</v>
      </c>
      <c r="E535" t="s">
        <v>1537</v>
      </c>
      <c r="F535" t="s">
        <v>1517</v>
      </c>
      <c r="G535" t="s">
        <v>3693</v>
      </c>
      <c r="H535">
        <v>13</v>
      </c>
      <c r="I535">
        <v>2109.15</v>
      </c>
      <c r="J535">
        <v>27418.95</v>
      </c>
    </row>
    <row r="536" spans="1:10">
      <c r="A536" s="4">
        <v>44985</v>
      </c>
      <c r="B536" t="s">
        <v>3675</v>
      </c>
      <c r="C536" t="s">
        <v>3661</v>
      </c>
      <c r="D536" t="s">
        <v>2550</v>
      </c>
      <c r="E536" t="s">
        <v>1537</v>
      </c>
      <c r="F536" t="s">
        <v>1516</v>
      </c>
      <c r="G536" t="s">
        <v>3686</v>
      </c>
      <c r="H536">
        <v>16</v>
      </c>
      <c r="I536">
        <v>4090.26</v>
      </c>
      <c r="J536">
        <v>65444.160000000003</v>
      </c>
    </row>
    <row r="537" spans="1:10">
      <c r="A537" s="4">
        <v>45132</v>
      </c>
      <c r="B537" t="s">
        <v>3676</v>
      </c>
      <c r="C537" t="s">
        <v>3664</v>
      </c>
      <c r="D537" t="s">
        <v>2548</v>
      </c>
      <c r="E537" t="s">
        <v>1535</v>
      </c>
      <c r="F537" t="s">
        <v>1516</v>
      </c>
      <c r="G537" t="s">
        <v>3687</v>
      </c>
      <c r="H537">
        <v>12</v>
      </c>
      <c r="I537">
        <v>219.32</v>
      </c>
      <c r="J537">
        <v>2631.84</v>
      </c>
    </row>
    <row r="538" spans="1:10">
      <c r="A538" s="4">
        <v>45277</v>
      </c>
      <c r="B538" t="s">
        <v>3673</v>
      </c>
      <c r="C538" t="s">
        <v>3668</v>
      </c>
      <c r="D538" t="s">
        <v>2551</v>
      </c>
      <c r="E538" t="s">
        <v>1538</v>
      </c>
      <c r="F538" t="s">
        <v>1518</v>
      </c>
      <c r="G538" t="s">
        <v>3696</v>
      </c>
      <c r="H538">
        <v>14</v>
      </c>
      <c r="I538">
        <v>264.77</v>
      </c>
      <c r="J538">
        <v>3706.78</v>
      </c>
    </row>
    <row r="539" spans="1:10">
      <c r="A539" s="4">
        <v>45047</v>
      </c>
      <c r="B539" t="s">
        <v>3689</v>
      </c>
      <c r="C539" t="s">
        <v>3658</v>
      </c>
      <c r="D539" t="s">
        <v>2550</v>
      </c>
      <c r="E539" t="s">
        <v>1537</v>
      </c>
      <c r="F539" t="s">
        <v>1516</v>
      </c>
      <c r="G539" t="s">
        <v>3687</v>
      </c>
      <c r="H539">
        <v>9</v>
      </c>
      <c r="I539">
        <v>2624.88</v>
      </c>
      <c r="J539">
        <v>23623.919999999998</v>
      </c>
    </row>
    <row r="540" spans="1:10">
      <c r="A540" s="4">
        <v>45081</v>
      </c>
      <c r="B540" t="s">
        <v>3683</v>
      </c>
      <c r="C540" t="s">
        <v>3666</v>
      </c>
      <c r="D540" t="s">
        <v>2548</v>
      </c>
      <c r="E540" t="s">
        <v>1535</v>
      </c>
      <c r="F540" t="s">
        <v>1517</v>
      </c>
      <c r="G540" t="s">
        <v>3699</v>
      </c>
      <c r="H540">
        <v>15</v>
      </c>
      <c r="I540">
        <v>1063.8800000000001</v>
      </c>
      <c r="J540">
        <v>15958.2</v>
      </c>
    </row>
    <row r="541" spans="1:10">
      <c r="A541" s="4">
        <v>44980</v>
      </c>
      <c r="B541" t="s">
        <v>3689</v>
      </c>
      <c r="C541" t="s">
        <v>3656</v>
      </c>
      <c r="D541" t="s">
        <v>2550</v>
      </c>
      <c r="E541" t="s">
        <v>1537</v>
      </c>
      <c r="F541" t="s">
        <v>1516</v>
      </c>
      <c r="G541" t="s">
        <v>3687</v>
      </c>
      <c r="H541">
        <v>2</v>
      </c>
      <c r="I541">
        <v>4277.8999999999996</v>
      </c>
      <c r="J541">
        <v>8555.7999999999993</v>
      </c>
    </row>
    <row r="542" spans="1:10">
      <c r="A542" s="4">
        <v>45249</v>
      </c>
      <c r="B542" t="s">
        <v>3673</v>
      </c>
      <c r="C542" t="s">
        <v>3663</v>
      </c>
      <c r="D542" t="s">
        <v>2548</v>
      </c>
      <c r="E542" t="s">
        <v>1535</v>
      </c>
      <c r="F542" t="s">
        <v>1516</v>
      </c>
      <c r="G542" t="s">
        <v>3695</v>
      </c>
      <c r="H542">
        <v>13</v>
      </c>
      <c r="I542">
        <v>1762.69</v>
      </c>
      <c r="J542">
        <v>22914.97</v>
      </c>
    </row>
    <row r="543" spans="1:10">
      <c r="A543" s="4">
        <v>45043</v>
      </c>
      <c r="B543" t="s">
        <v>3681</v>
      </c>
      <c r="C543" t="s">
        <v>3655</v>
      </c>
      <c r="D543" t="s">
        <v>2552</v>
      </c>
      <c r="E543" t="s">
        <v>1537</v>
      </c>
      <c r="F543" t="s">
        <v>1516</v>
      </c>
      <c r="G543" t="s">
        <v>3695</v>
      </c>
      <c r="H543">
        <v>6</v>
      </c>
      <c r="I543">
        <v>2069.96</v>
      </c>
      <c r="J543">
        <v>12419.76</v>
      </c>
    </row>
    <row r="544" spans="1:10">
      <c r="A544" s="4">
        <v>45153</v>
      </c>
      <c r="B544" t="s">
        <v>3675</v>
      </c>
      <c r="C544" t="s">
        <v>3659</v>
      </c>
      <c r="D544" t="s">
        <v>2551</v>
      </c>
      <c r="E544" t="s">
        <v>1538</v>
      </c>
      <c r="F544" t="s">
        <v>1516</v>
      </c>
      <c r="G544" t="s">
        <v>3687</v>
      </c>
      <c r="H544">
        <v>19</v>
      </c>
      <c r="I544">
        <v>3822.54</v>
      </c>
      <c r="J544">
        <v>72628.259999999995</v>
      </c>
    </row>
    <row r="545" spans="1:10">
      <c r="A545" s="4">
        <v>45205</v>
      </c>
      <c r="B545" t="s">
        <v>3675</v>
      </c>
      <c r="C545" t="s">
        <v>3659</v>
      </c>
      <c r="D545" t="s">
        <v>2551</v>
      </c>
      <c r="E545" t="s">
        <v>1538</v>
      </c>
      <c r="F545" t="s">
        <v>3657</v>
      </c>
      <c r="G545" t="s">
        <v>3692</v>
      </c>
      <c r="H545">
        <v>16</v>
      </c>
      <c r="I545">
        <v>242.23</v>
      </c>
      <c r="J545">
        <v>3875.68</v>
      </c>
    </row>
    <row r="546" spans="1:10">
      <c r="A546" s="4">
        <v>45106</v>
      </c>
      <c r="B546" t="s">
        <v>3683</v>
      </c>
      <c r="C546" t="s">
        <v>3666</v>
      </c>
      <c r="D546" t="s">
        <v>2548</v>
      </c>
      <c r="E546" t="s">
        <v>1535</v>
      </c>
      <c r="F546" t="s">
        <v>1518</v>
      </c>
      <c r="G546" t="s">
        <v>3680</v>
      </c>
      <c r="H546">
        <v>12</v>
      </c>
      <c r="I546">
        <v>2290.7600000000002</v>
      </c>
      <c r="J546">
        <v>27489.119999999999</v>
      </c>
    </row>
    <row r="547" spans="1:10">
      <c r="A547" s="4">
        <v>45195</v>
      </c>
      <c r="B547" t="s">
        <v>3691</v>
      </c>
      <c r="C547" t="s">
        <v>3654</v>
      </c>
      <c r="D547" t="s">
        <v>2549</v>
      </c>
      <c r="E547" t="s">
        <v>1535</v>
      </c>
      <c r="F547" t="s">
        <v>1516</v>
      </c>
      <c r="G547" t="s">
        <v>3687</v>
      </c>
      <c r="H547">
        <v>18</v>
      </c>
      <c r="I547">
        <v>1957.78</v>
      </c>
      <c r="J547">
        <v>35240.04</v>
      </c>
    </row>
    <row r="548" spans="1:10">
      <c r="A548" s="4">
        <v>45236</v>
      </c>
      <c r="B548" t="s">
        <v>3688</v>
      </c>
      <c r="C548" t="s">
        <v>3654</v>
      </c>
      <c r="D548" t="s">
        <v>2549</v>
      </c>
      <c r="E548" t="s">
        <v>1535</v>
      </c>
      <c r="F548" t="s">
        <v>1518</v>
      </c>
      <c r="G548" t="s">
        <v>3700</v>
      </c>
      <c r="H548">
        <v>1</v>
      </c>
      <c r="I548">
        <v>4370.57</v>
      </c>
      <c r="J548">
        <v>4370.57</v>
      </c>
    </row>
    <row r="549" spans="1:10">
      <c r="A549" s="4">
        <v>45065</v>
      </c>
      <c r="B549" t="s">
        <v>3681</v>
      </c>
      <c r="C549" t="s">
        <v>3659</v>
      </c>
      <c r="D549" t="s">
        <v>2551</v>
      </c>
      <c r="E549" t="s">
        <v>1538</v>
      </c>
      <c r="F549" t="s">
        <v>3657</v>
      </c>
      <c r="G549" t="s">
        <v>3690</v>
      </c>
      <c r="H549">
        <v>3</v>
      </c>
      <c r="I549">
        <v>1894.71</v>
      </c>
      <c r="J549">
        <v>5684.13</v>
      </c>
    </row>
    <row r="550" spans="1:10">
      <c r="A550" s="4">
        <v>45242</v>
      </c>
      <c r="B550" t="s">
        <v>3676</v>
      </c>
      <c r="C550" t="s">
        <v>3666</v>
      </c>
      <c r="D550" t="s">
        <v>2548</v>
      </c>
      <c r="E550" t="s">
        <v>1535</v>
      </c>
      <c r="F550" t="s">
        <v>3657</v>
      </c>
      <c r="G550" t="s">
        <v>3694</v>
      </c>
      <c r="H550">
        <v>14</v>
      </c>
      <c r="I550">
        <v>367.1</v>
      </c>
      <c r="J550">
        <v>5139.3999999999996</v>
      </c>
    </row>
    <row r="551" spans="1:10">
      <c r="A551" s="4">
        <v>45131</v>
      </c>
      <c r="B551" t="s">
        <v>3679</v>
      </c>
      <c r="C551" t="s">
        <v>3664</v>
      </c>
      <c r="D551" t="s">
        <v>2548</v>
      </c>
      <c r="E551" t="s">
        <v>1535</v>
      </c>
      <c r="F551" t="s">
        <v>1514</v>
      </c>
      <c r="G551" t="s">
        <v>3682</v>
      </c>
      <c r="H551">
        <v>10</v>
      </c>
      <c r="I551">
        <v>4678.49</v>
      </c>
      <c r="J551">
        <v>46784.9</v>
      </c>
    </row>
    <row r="552" spans="1:10">
      <c r="A552" s="4">
        <v>44967</v>
      </c>
      <c r="B552" t="s">
        <v>3675</v>
      </c>
      <c r="C552" t="s">
        <v>3668</v>
      </c>
      <c r="D552" t="s">
        <v>2551</v>
      </c>
      <c r="E552" t="s">
        <v>1538</v>
      </c>
      <c r="F552" t="s">
        <v>3657</v>
      </c>
      <c r="G552" t="s">
        <v>3692</v>
      </c>
      <c r="H552">
        <v>12</v>
      </c>
      <c r="I552">
        <v>1020.42</v>
      </c>
      <c r="J552">
        <v>12245.04</v>
      </c>
    </row>
    <row r="553" spans="1:10">
      <c r="A553" s="4">
        <v>45065</v>
      </c>
      <c r="B553" t="s">
        <v>3681</v>
      </c>
      <c r="C553" t="s">
        <v>3667</v>
      </c>
      <c r="D553" t="s">
        <v>2552</v>
      </c>
      <c r="E553" t="s">
        <v>1537</v>
      </c>
      <c r="F553" t="s">
        <v>1514</v>
      </c>
      <c r="G553" t="s">
        <v>3685</v>
      </c>
      <c r="H553">
        <v>15</v>
      </c>
      <c r="I553">
        <v>1669.04</v>
      </c>
      <c r="J553">
        <v>25035.599999999999</v>
      </c>
    </row>
    <row r="554" spans="1:10">
      <c r="A554" s="4">
        <v>45186</v>
      </c>
      <c r="B554" t="s">
        <v>3689</v>
      </c>
      <c r="C554" t="s">
        <v>3665</v>
      </c>
      <c r="D554" t="s">
        <v>2549</v>
      </c>
      <c r="E554" t="s">
        <v>1535</v>
      </c>
      <c r="F554" t="s">
        <v>1518</v>
      </c>
      <c r="G554" t="s">
        <v>3700</v>
      </c>
      <c r="H554">
        <v>18</v>
      </c>
      <c r="I554">
        <v>138.01</v>
      </c>
      <c r="J554">
        <v>2484.1799999999998</v>
      </c>
    </row>
    <row r="555" spans="1:10">
      <c r="A555" s="4">
        <v>45138</v>
      </c>
      <c r="B555" t="s">
        <v>3689</v>
      </c>
      <c r="C555" t="s">
        <v>3663</v>
      </c>
      <c r="D555" t="s">
        <v>2548</v>
      </c>
      <c r="E555" t="s">
        <v>1535</v>
      </c>
      <c r="F555" t="s">
        <v>1518</v>
      </c>
      <c r="G555" t="s">
        <v>3674</v>
      </c>
      <c r="H555">
        <v>6</v>
      </c>
      <c r="I555">
        <v>3847.76</v>
      </c>
      <c r="J555">
        <v>23086.560000000001</v>
      </c>
    </row>
    <row r="556" spans="1:10">
      <c r="A556" s="4">
        <v>45147</v>
      </c>
      <c r="B556" t="s">
        <v>3688</v>
      </c>
      <c r="C556" t="s">
        <v>3654</v>
      </c>
      <c r="D556" t="s">
        <v>2549</v>
      </c>
      <c r="E556" t="s">
        <v>1535</v>
      </c>
      <c r="F556" t="s">
        <v>3657</v>
      </c>
      <c r="G556" t="s">
        <v>3678</v>
      </c>
      <c r="H556">
        <v>4</v>
      </c>
      <c r="I556">
        <v>3246.52</v>
      </c>
      <c r="J556">
        <v>12986.08</v>
      </c>
    </row>
    <row r="557" spans="1:10">
      <c r="A557" s="4">
        <v>44956</v>
      </c>
      <c r="B557" t="s">
        <v>3691</v>
      </c>
      <c r="C557" t="s">
        <v>3659</v>
      </c>
      <c r="D557" t="s">
        <v>2551</v>
      </c>
      <c r="E557" t="s">
        <v>1538</v>
      </c>
      <c r="F557" t="s">
        <v>1518</v>
      </c>
      <c r="G557" t="s">
        <v>3696</v>
      </c>
      <c r="H557">
        <v>14</v>
      </c>
      <c r="I557">
        <v>569.91</v>
      </c>
      <c r="J557">
        <v>7978.74</v>
      </c>
    </row>
    <row r="558" spans="1:10">
      <c r="A558" s="4">
        <v>44938</v>
      </c>
      <c r="B558" t="s">
        <v>3684</v>
      </c>
      <c r="C558" t="s">
        <v>3656</v>
      </c>
      <c r="D558" t="s">
        <v>2550</v>
      </c>
      <c r="E558" t="s">
        <v>1537</v>
      </c>
      <c r="F558" t="s">
        <v>1514</v>
      </c>
      <c r="G558" t="s">
        <v>3685</v>
      </c>
      <c r="H558">
        <v>15</v>
      </c>
      <c r="I558">
        <v>4316.17</v>
      </c>
      <c r="J558">
        <v>64742.55</v>
      </c>
    </row>
    <row r="559" spans="1:10">
      <c r="A559" s="4">
        <v>45219</v>
      </c>
      <c r="B559" t="s">
        <v>3675</v>
      </c>
      <c r="C559" t="s">
        <v>3656</v>
      </c>
      <c r="D559" t="s">
        <v>2550</v>
      </c>
      <c r="E559" t="s">
        <v>1537</v>
      </c>
      <c r="F559" t="s">
        <v>1516</v>
      </c>
      <c r="G559" t="s">
        <v>3677</v>
      </c>
      <c r="H559">
        <v>17</v>
      </c>
      <c r="I559">
        <v>2209.62</v>
      </c>
      <c r="J559">
        <v>37563.54</v>
      </c>
    </row>
    <row r="560" spans="1:10">
      <c r="A560" s="4">
        <v>45206</v>
      </c>
      <c r="B560" t="s">
        <v>3684</v>
      </c>
      <c r="C560" t="s">
        <v>3669</v>
      </c>
      <c r="D560" t="s">
        <v>2551</v>
      </c>
      <c r="E560" t="s">
        <v>1538</v>
      </c>
      <c r="F560" t="s">
        <v>1517</v>
      </c>
      <c r="G560" t="s">
        <v>3699</v>
      </c>
      <c r="H560">
        <v>16</v>
      </c>
      <c r="I560">
        <v>3296.61</v>
      </c>
      <c r="J560">
        <v>52745.760000000002</v>
      </c>
    </row>
    <row r="561" spans="1:10">
      <c r="A561" s="4">
        <v>45078</v>
      </c>
      <c r="B561" t="s">
        <v>3673</v>
      </c>
      <c r="C561" t="s">
        <v>3659</v>
      </c>
      <c r="D561" t="s">
        <v>2551</v>
      </c>
      <c r="E561" t="s">
        <v>1538</v>
      </c>
      <c r="F561" t="s">
        <v>1517</v>
      </c>
      <c r="G561" t="s">
        <v>3672</v>
      </c>
      <c r="H561">
        <v>13</v>
      </c>
      <c r="I561">
        <v>523.83000000000004</v>
      </c>
      <c r="J561">
        <v>6809.79</v>
      </c>
    </row>
    <row r="562" spans="1:10">
      <c r="A562" s="4">
        <v>45182</v>
      </c>
      <c r="B562" t="s">
        <v>3681</v>
      </c>
      <c r="C562" t="s">
        <v>3667</v>
      </c>
      <c r="D562" t="s">
        <v>2552</v>
      </c>
      <c r="E562" t="s">
        <v>1537</v>
      </c>
      <c r="F562" t="s">
        <v>1514</v>
      </c>
      <c r="G562" t="s">
        <v>3685</v>
      </c>
      <c r="H562">
        <v>3</v>
      </c>
      <c r="I562">
        <v>916.53</v>
      </c>
      <c r="J562">
        <v>2749.59</v>
      </c>
    </row>
    <row r="563" spans="1:10">
      <c r="A563" s="4">
        <v>45089</v>
      </c>
      <c r="B563" t="s">
        <v>3673</v>
      </c>
      <c r="C563" t="s">
        <v>3665</v>
      </c>
      <c r="D563" t="s">
        <v>2549</v>
      </c>
      <c r="E563" t="s">
        <v>1535</v>
      </c>
      <c r="F563" t="s">
        <v>1516</v>
      </c>
      <c r="G563" t="s">
        <v>3687</v>
      </c>
      <c r="H563">
        <v>13</v>
      </c>
      <c r="I563">
        <v>1836.55</v>
      </c>
      <c r="J563">
        <v>23875.15</v>
      </c>
    </row>
    <row r="564" spans="1:10">
      <c r="A564" s="4">
        <v>45033</v>
      </c>
      <c r="B564" t="s">
        <v>3679</v>
      </c>
      <c r="C564" t="s">
        <v>3668</v>
      </c>
      <c r="D564" t="s">
        <v>2551</v>
      </c>
      <c r="E564" t="s">
        <v>1538</v>
      </c>
      <c r="F564" t="s">
        <v>1516</v>
      </c>
      <c r="G564" t="s">
        <v>3677</v>
      </c>
      <c r="H564">
        <v>19</v>
      </c>
      <c r="I564">
        <v>2253.92</v>
      </c>
      <c r="J564">
        <v>42824.480000000003</v>
      </c>
    </row>
    <row r="565" spans="1:10">
      <c r="A565" s="4">
        <v>45066</v>
      </c>
      <c r="B565" t="s">
        <v>3679</v>
      </c>
      <c r="C565" t="s">
        <v>3665</v>
      </c>
      <c r="D565" t="s">
        <v>2549</v>
      </c>
      <c r="E565" t="s">
        <v>1535</v>
      </c>
      <c r="F565" t="s">
        <v>1517</v>
      </c>
      <c r="G565" t="s">
        <v>3672</v>
      </c>
      <c r="H565">
        <v>13</v>
      </c>
      <c r="I565">
        <v>3617.07</v>
      </c>
      <c r="J565">
        <v>47021.91</v>
      </c>
    </row>
    <row r="566" spans="1:10">
      <c r="A566" s="4">
        <v>44957</v>
      </c>
      <c r="B566" t="s">
        <v>3688</v>
      </c>
      <c r="C566" t="s">
        <v>3655</v>
      </c>
      <c r="D566" t="s">
        <v>2552</v>
      </c>
      <c r="E566" t="s">
        <v>1537</v>
      </c>
      <c r="F566" t="s">
        <v>3657</v>
      </c>
      <c r="G566" t="s">
        <v>3694</v>
      </c>
      <c r="H566">
        <v>5</v>
      </c>
      <c r="I566">
        <v>417.76</v>
      </c>
      <c r="J566">
        <v>2088.8000000000002</v>
      </c>
    </row>
    <row r="567" spans="1:10">
      <c r="A567" s="4">
        <v>45085</v>
      </c>
      <c r="B567" t="s">
        <v>3675</v>
      </c>
      <c r="C567" t="s">
        <v>3660</v>
      </c>
      <c r="D567" t="s">
        <v>2549</v>
      </c>
      <c r="E567" t="s">
        <v>1535</v>
      </c>
      <c r="F567" t="s">
        <v>1514</v>
      </c>
      <c r="G567" t="s">
        <v>3682</v>
      </c>
      <c r="H567">
        <v>11</v>
      </c>
      <c r="I567">
        <v>864.29</v>
      </c>
      <c r="J567">
        <v>9507.19</v>
      </c>
    </row>
    <row r="568" spans="1:10">
      <c r="A568" s="4">
        <v>45004</v>
      </c>
      <c r="B568" t="s">
        <v>3681</v>
      </c>
      <c r="C568" t="s">
        <v>3669</v>
      </c>
      <c r="D568" t="s">
        <v>2551</v>
      </c>
      <c r="E568" t="s">
        <v>1538</v>
      </c>
      <c r="F568" t="s">
        <v>1514</v>
      </c>
      <c r="G568" t="s">
        <v>3682</v>
      </c>
      <c r="H568">
        <v>19</v>
      </c>
      <c r="I568">
        <v>2006.79</v>
      </c>
      <c r="J568">
        <v>38129.01</v>
      </c>
    </row>
    <row r="569" spans="1:10">
      <c r="A569" s="4">
        <v>45060</v>
      </c>
      <c r="B569" t="s">
        <v>3675</v>
      </c>
      <c r="C569" t="s">
        <v>3663</v>
      </c>
      <c r="D569" t="s">
        <v>2548</v>
      </c>
      <c r="E569" t="s">
        <v>1535</v>
      </c>
      <c r="F569" t="s">
        <v>3657</v>
      </c>
      <c r="G569" t="s">
        <v>3692</v>
      </c>
      <c r="H569">
        <v>1</v>
      </c>
      <c r="I569">
        <v>403.2</v>
      </c>
      <c r="J569">
        <v>403.2</v>
      </c>
    </row>
    <row r="570" spans="1:10">
      <c r="A570" s="4">
        <v>45247</v>
      </c>
      <c r="B570" t="s">
        <v>3689</v>
      </c>
      <c r="C570" t="s">
        <v>3665</v>
      </c>
      <c r="D570" t="s">
        <v>2549</v>
      </c>
      <c r="E570" t="s">
        <v>1535</v>
      </c>
      <c r="F570" t="s">
        <v>1517</v>
      </c>
      <c r="G570" t="s">
        <v>3701</v>
      </c>
      <c r="H570">
        <v>7</v>
      </c>
      <c r="I570">
        <v>2846.83</v>
      </c>
      <c r="J570">
        <v>19927.810000000001</v>
      </c>
    </row>
    <row r="571" spans="1:10">
      <c r="A571" s="4">
        <v>44971</v>
      </c>
      <c r="B571" t="s">
        <v>3673</v>
      </c>
      <c r="C571" t="s">
        <v>3656</v>
      </c>
      <c r="D571" t="s">
        <v>2550</v>
      </c>
      <c r="E571" t="s">
        <v>1537</v>
      </c>
      <c r="F571" t="s">
        <v>1516</v>
      </c>
      <c r="G571" t="s">
        <v>3677</v>
      </c>
      <c r="H571">
        <v>5</v>
      </c>
      <c r="I571">
        <v>850.9</v>
      </c>
      <c r="J571">
        <v>4254.5</v>
      </c>
    </row>
    <row r="572" spans="1:10">
      <c r="A572" s="4">
        <v>45223</v>
      </c>
      <c r="B572" t="s">
        <v>3683</v>
      </c>
      <c r="C572" t="s">
        <v>3669</v>
      </c>
      <c r="D572" t="s">
        <v>2551</v>
      </c>
      <c r="E572" t="s">
        <v>1538</v>
      </c>
      <c r="F572" t="s">
        <v>1514</v>
      </c>
      <c r="G572" t="s">
        <v>3697</v>
      </c>
      <c r="H572">
        <v>16</v>
      </c>
      <c r="I572">
        <v>3337.15</v>
      </c>
      <c r="J572">
        <v>53394.400000000001</v>
      </c>
    </row>
    <row r="573" spans="1:10">
      <c r="A573" s="4">
        <v>45188</v>
      </c>
      <c r="B573" t="s">
        <v>3683</v>
      </c>
      <c r="C573" t="s">
        <v>3667</v>
      </c>
      <c r="D573" t="s">
        <v>2552</v>
      </c>
      <c r="E573" t="s">
        <v>1537</v>
      </c>
      <c r="F573" t="s">
        <v>1516</v>
      </c>
      <c r="G573" t="s">
        <v>3686</v>
      </c>
      <c r="H573">
        <v>15</v>
      </c>
      <c r="I573">
        <v>1299.55</v>
      </c>
      <c r="J573">
        <v>19493.25</v>
      </c>
    </row>
    <row r="574" spans="1:10">
      <c r="A574" s="4">
        <v>45043</v>
      </c>
      <c r="B574" t="s">
        <v>3683</v>
      </c>
      <c r="C574" t="s">
        <v>3667</v>
      </c>
      <c r="D574" t="s">
        <v>2552</v>
      </c>
      <c r="E574" t="s">
        <v>1537</v>
      </c>
      <c r="F574" t="s">
        <v>3657</v>
      </c>
      <c r="G574" t="s">
        <v>3692</v>
      </c>
      <c r="H574">
        <v>7</v>
      </c>
      <c r="I574">
        <v>4898.57</v>
      </c>
      <c r="J574">
        <v>34289.99</v>
      </c>
    </row>
    <row r="575" spans="1:10">
      <c r="A575" s="4">
        <v>44964</v>
      </c>
      <c r="B575" t="s">
        <v>3673</v>
      </c>
      <c r="C575" t="s">
        <v>3661</v>
      </c>
      <c r="D575" t="s">
        <v>2550</v>
      </c>
      <c r="E575" t="s">
        <v>1537</v>
      </c>
      <c r="F575" t="s">
        <v>1516</v>
      </c>
      <c r="G575" t="s">
        <v>3695</v>
      </c>
      <c r="H575">
        <v>11</v>
      </c>
      <c r="I575">
        <v>2471.65</v>
      </c>
      <c r="J575">
        <v>27188.15</v>
      </c>
    </row>
    <row r="576" spans="1:10">
      <c r="A576" s="4">
        <v>44942</v>
      </c>
      <c r="B576" t="s">
        <v>3683</v>
      </c>
      <c r="C576" t="s">
        <v>3658</v>
      </c>
      <c r="D576" t="s">
        <v>2550</v>
      </c>
      <c r="E576" t="s">
        <v>1537</v>
      </c>
      <c r="F576" t="s">
        <v>1518</v>
      </c>
      <c r="G576" t="s">
        <v>3680</v>
      </c>
      <c r="H576">
        <v>2</v>
      </c>
      <c r="I576">
        <v>1125.53</v>
      </c>
      <c r="J576">
        <v>2251.06</v>
      </c>
    </row>
    <row r="577" spans="1:10">
      <c r="A577" s="4">
        <v>45171</v>
      </c>
      <c r="B577" t="s">
        <v>3676</v>
      </c>
      <c r="C577" t="s">
        <v>3663</v>
      </c>
      <c r="D577" t="s">
        <v>2548</v>
      </c>
      <c r="E577" t="s">
        <v>1535</v>
      </c>
      <c r="F577" t="s">
        <v>1517</v>
      </c>
      <c r="G577" t="s">
        <v>3672</v>
      </c>
      <c r="H577">
        <v>13</v>
      </c>
      <c r="I577">
        <v>2835.8</v>
      </c>
      <c r="J577">
        <v>36865.4</v>
      </c>
    </row>
    <row r="578" spans="1:10">
      <c r="A578" s="4">
        <v>45027</v>
      </c>
      <c r="B578" t="s">
        <v>3684</v>
      </c>
      <c r="C578" t="s">
        <v>3667</v>
      </c>
      <c r="D578" t="s">
        <v>2552</v>
      </c>
      <c r="E578" t="s">
        <v>1537</v>
      </c>
      <c r="F578" t="s">
        <v>3657</v>
      </c>
      <c r="G578" t="s">
        <v>3692</v>
      </c>
      <c r="H578">
        <v>17</v>
      </c>
      <c r="I578">
        <v>3973.87</v>
      </c>
      <c r="J578">
        <v>67555.789999999994</v>
      </c>
    </row>
    <row r="579" spans="1:10">
      <c r="A579" s="4">
        <v>44938</v>
      </c>
      <c r="B579" t="s">
        <v>3676</v>
      </c>
      <c r="C579" t="s">
        <v>3665</v>
      </c>
      <c r="D579" t="s">
        <v>2549</v>
      </c>
      <c r="E579" t="s">
        <v>1535</v>
      </c>
      <c r="F579" t="s">
        <v>1514</v>
      </c>
      <c r="G579" t="s">
        <v>3698</v>
      </c>
      <c r="H579">
        <v>4</v>
      </c>
      <c r="I579">
        <v>1998.26</v>
      </c>
      <c r="J579">
        <v>7993.04</v>
      </c>
    </row>
    <row r="580" spans="1:10">
      <c r="A580" s="4">
        <v>45207</v>
      </c>
      <c r="B580" t="s">
        <v>3681</v>
      </c>
      <c r="C580" t="s">
        <v>3655</v>
      </c>
      <c r="D580" t="s">
        <v>2552</v>
      </c>
      <c r="E580" t="s">
        <v>1537</v>
      </c>
      <c r="F580" t="s">
        <v>1518</v>
      </c>
      <c r="G580" t="s">
        <v>3680</v>
      </c>
      <c r="H580">
        <v>7</v>
      </c>
      <c r="I580">
        <v>3820.3</v>
      </c>
      <c r="J580">
        <v>26742.1</v>
      </c>
    </row>
    <row r="581" spans="1:10">
      <c r="A581" s="4">
        <v>44979</v>
      </c>
      <c r="B581" t="s">
        <v>3673</v>
      </c>
      <c r="C581" t="s">
        <v>3666</v>
      </c>
      <c r="D581" t="s">
        <v>2548</v>
      </c>
      <c r="E581" t="s">
        <v>1535</v>
      </c>
      <c r="F581" t="s">
        <v>1518</v>
      </c>
      <c r="G581" t="s">
        <v>3700</v>
      </c>
      <c r="H581">
        <v>19</v>
      </c>
      <c r="I581">
        <v>2199.3200000000002</v>
      </c>
      <c r="J581">
        <v>41787.08</v>
      </c>
    </row>
    <row r="582" spans="1:10">
      <c r="A582" s="4">
        <v>45091</v>
      </c>
      <c r="B582" t="s">
        <v>3679</v>
      </c>
      <c r="C582" t="s">
        <v>3661</v>
      </c>
      <c r="D582" t="s">
        <v>2550</v>
      </c>
      <c r="E582" t="s">
        <v>1537</v>
      </c>
      <c r="F582" t="s">
        <v>3657</v>
      </c>
      <c r="G582" t="s">
        <v>3678</v>
      </c>
      <c r="H582">
        <v>6</v>
      </c>
      <c r="I582">
        <v>578.64</v>
      </c>
      <c r="J582">
        <v>3471.84</v>
      </c>
    </row>
    <row r="583" spans="1:10">
      <c r="A583" s="4">
        <v>45237</v>
      </c>
      <c r="B583" t="s">
        <v>3681</v>
      </c>
      <c r="C583" t="s">
        <v>3656</v>
      </c>
      <c r="D583" t="s">
        <v>2550</v>
      </c>
      <c r="E583" t="s">
        <v>1537</v>
      </c>
      <c r="F583" t="s">
        <v>1514</v>
      </c>
      <c r="G583" t="s">
        <v>3685</v>
      </c>
      <c r="H583">
        <v>5</v>
      </c>
      <c r="I583">
        <v>1488.21</v>
      </c>
      <c r="J583">
        <v>7441.05</v>
      </c>
    </row>
    <row r="584" spans="1:10">
      <c r="A584" s="4">
        <v>45282</v>
      </c>
      <c r="B584" t="s">
        <v>3688</v>
      </c>
      <c r="C584" t="s">
        <v>3661</v>
      </c>
      <c r="D584" t="s">
        <v>2550</v>
      </c>
      <c r="E584" t="s">
        <v>1537</v>
      </c>
      <c r="F584" t="s">
        <v>1517</v>
      </c>
      <c r="G584" t="s">
        <v>3701</v>
      </c>
      <c r="H584">
        <v>19</v>
      </c>
      <c r="I584">
        <v>3196.27</v>
      </c>
      <c r="J584">
        <v>60729.13</v>
      </c>
    </row>
    <row r="585" spans="1:10">
      <c r="A585" s="4">
        <v>45087</v>
      </c>
      <c r="B585" t="s">
        <v>3676</v>
      </c>
      <c r="C585" t="s">
        <v>3664</v>
      </c>
      <c r="D585" t="s">
        <v>2548</v>
      </c>
      <c r="E585" t="s">
        <v>1535</v>
      </c>
      <c r="F585" t="s">
        <v>3657</v>
      </c>
      <c r="G585" t="s">
        <v>3678</v>
      </c>
      <c r="H585">
        <v>5</v>
      </c>
      <c r="I585">
        <v>1018.53</v>
      </c>
      <c r="J585">
        <v>5092.6499999999996</v>
      </c>
    </row>
    <row r="586" spans="1:10">
      <c r="A586" s="4">
        <v>45105</v>
      </c>
      <c r="B586" t="s">
        <v>3684</v>
      </c>
      <c r="C586" t="s">
        <v>3669</v>
      </c>
      <c r="D586" t="s">
        <v>2551</v>
      </c>
      <c r="E586" t="s">
        <v>1538</v>
      </c>
      <c r="F586" t="s">
        <v>1518</v>
      </c>
      <c r="G586" t="s">
        <v>3696</v>
      </c>
      <c r="H586">
        <v>13</v>
      </c>
      <c r="I586">
        <v>1367.15</v>
      </c>
      <c r="J586">
        <v>17772.95</v>
      </c>
    </row>
    <row r="587" spans="1:10">
      <c r="A587" s="4">
        <v>45206</v>
      </c>
      <c r="B587" t="s">
        <v>3676</v>
      </c>
      <c r="C587" t="s">
        <v>3656</v>
      </c>
      <c r="D587" t="s">
        <v>2550</v>
      </c>
      <c r="E587" t="s">
        <v>1537</v>
      </c>
      <c r="F587" t="s">
        <v>1514</v>
      </c>
      <c r="G587" t="s">
        <v>3698</v>
      </c>
      <c r="H587">
        <v>19</v>
      </c>
      <c r="I587">
        <v>4996.28</v>
      </c>
      <c r="J587">
        <v>94929.32</v>
      </c>
    </row>
    <row r="588" spans="1:10">
      <c r="A588" s="4">
        <v>45230</v>
      </c>
      <c r="B588" t="s">
        <v>3691</v>
      </c>
      <c r="C588" t="s">
        <v>3654</v>
      </c>
      <c r="D588" t="s">
        <v>2549</v>
      </c>
      <c r="E588" t="s">
        <v>1535</v>
      </c>
      <c r="F588" t="s">
        <v>1516</v>
      </c>
      <c r="G588" t="s">
        <v>3687</v>
      </c>
      <c r="H588">
        <v>3</v>
      </c>
      <c r="I588">
        <v>4447.8999999999996</v>
      </c>
      <c r="J588">
        <v>13343.7</v>
      </c>
    </row>
    <row r="589" spans="1:10">
      <c r="A589" s="4">
        <v>45067</v>
      </c>
      <c r="B589" t="s">
        <v>3684</v>
      </c>
      <c r="C589" t="s">
        <v>3665</v>
      </c>
      <c r="D589" t="s">
        <v>2549</v>
      </c>
      <c r="E589" t="s">
        <v>1535</v>
      </c>
      <c r="F589" t="s">
        <v>1518</v>
      </c>
      <c r="G589" t="s">
        <v>3674</v>
      </c>
      <c r="H589">
        <v>10</v>
      </c>
      <c r="I589">
        <v>1318.51</v>
      </c>
      <c r="J589">
        <v>13185.1</v>
      </c>
    </row>
    <row r="590" spans="1:10">
      <c r="A590" s="4">
        <v>44976</v>
      </c>
      <c r="B590" t="s">
        <v>3673</v>
      </c>
      <c r="C590" t="s">
        <v>3661</v>
      </c>
      <c r="D590" t="s">
        <v>2550</v>
      </c>
      <c r="E590" t="s">
        <v>1537</v>
      </c>
      <c r="F590" t="s">
        <v>3657</v>
      </c>
      <c r="G590" t="s">
        <v>3694</v>
      </c>
      <c r="H590">
        <v>20</v>
      </c>
      <c r="I590">
        <v>1731.99</v>
      </c>
      <c r="J590">
        <v>34639.800000000003</v>
      </c>
    </row>
    <row r="591" spans="1:10">
      <c r="A591" s="4">
        <v>45261</v>
      </c>
      <c r="B591" t="s">
        <v>3684</v>
      </c>
      <c r="C591" t="s">
        <v>3660</v>
      </c>
      <c r="D591" t="s">
        <v>2549</v>
      </c>
      <c r="E591" t="s">
        <v>1535</v>
      </c>
      <c r="F591" t="s">
        <v>1516</v>
      </c>
      <c r="G591" t="s">
        <v>3677</v>
      </c>
      <c r="H591">
        <v>12</v>
      </c>
      <c r="I591">
        <v>4514.3900000000003</v>
      </c>
      <c r="J591">
        <v>54172.68</v>
      </c>
    </row>
    <row r="592" spans="1:10">
      <c r="A592" s="4">
        <v>45205</v>
      </c>
      <c r="B592" t="s">
        <v>3691</v>
      </c>
      <c r="C592" t="s">
        <v>3667</v>
      </c>
      <c r="D592" t="s">
        <v>2552</v>
      </c>
      <c r="E592" t="s">
        <v>1537</v>
      </c>
      <c r="F592" t="s">
        <v>1517</v>
      </c>
      <c r="G592" t="s">
        <v>3699</v>
      </c>
      <c r="H592">
        <v>20</v>
      </c>
      <c r="I592">
        <v>1710.93</v>
      </c>
      <c r="J592">
        <v>34218.6</v>
      </c>
    </row>
    <row r="593" spans="1:10">
      <c r="A593" s="4">
        <v>45056</v>
      </c>
      <c r="B593" t="s">
        <v>3675</v>
      </c>
      <c r="C593" t="s">
        <v>3662</v>
      </c>
      <c r="D593" t="s">
        <v>2552</v>
      </c>
      <c r="E593" t="s">
        <v>1537</v>
      </c>
      <c r="F593" t="s">
        <v>1518</v>
      </c>
      <c r="G593" t="s">
        <v>3680</v>
      </c>
      <c r="H593">
        <v>19</v>
      </c>
      <c r="I593">
        <v>491.53</v>
      </c>
      <c r="J593">
        <v>9339.07</v>
      </c>
    </row>
    <row r="594" spans="1:10">
      <c r="A594" s="4">
        <v>45150</v>
      </c>
      <c r="B594" t="s">
        <v>3691</v>
      </c>
      <c r="C594" t="s">
        <v>3667</v>
      </c>
      <c r="D594" t="s">
        <v>2552</v>
      </c>
      <c r="E594" t="s">
        <v>1537</v>
      </c>
      <c r="F594" t="s">
        <v>3657</v>
      </c>
      <c r="G594" t="s">
        <v>3678</v>
      </c>
      <c r="H594">
        <v>6</v>
      </c>
      <c r="I594">
        <v>203.88</v>
      </c>
      <c r="J594">
        <v>1223.28</v>
      </c>
    </row>
    <row r="595" spans="1:10">
      <c r="A595" s="4">
        <v>45011</v>
      </c>
      <c r="B595" t="s">
        <v>3675</v>
      </c>
      <c r="C595" t="s">
        <v>3654</v>
      </c>
      <c r="D595" t="s">
        <v>2549</v>
      </c>
      <c r="E595" t="s">
        <v>1535</v>
      </c>
      <c r="F595" t="s">
        <v>1518</v>
      </c>
      <c r="G595" t="s">
        <v>3674</v>
      </c>
      <c r="H595">
        <v>19</v>
      </c>
      <c r="I595">
        <v>4786.8900000000003</v>
      </c>
      <c r="J595">
        <v>90950.91</v>
      </c>
    </row>
    <row r="596" spans="1:10">
      <c r="A596" s="4">
        <v>45240</v>
      </c>
      <c r="B596" t="s">
        <v>3691</v>
      </c>
      <c r="C596" t="s">
        <v>3655</v>
      </c>
      <c r="D596" t="s">
        <v>2552</v>
      </c>
      <c r="E596" t="s">
        <v>1537</v>
      </c>
      <c r="F596" t="s">
        <v>1516</v>
      </c>
      <c r="G596" t="s">
        <v>3687</v>
      </c>
      <c r="H596">
        <v>11</v>
      </c>
      <c r="I596">
        <v>2666.77</v>
      </c>
      <c r="J596">
        <v>29334.47</v>
      </c>
    </row>
    <row r="597" spans="1:10">
      <c r="A597" s="4">
        <v>44967</v>
      </c>
      <c r="B597" t="s">
        <v>3679</v>
      </c>
      <c r="C597" t="s">
        <v>3660</v>
      </c>
      <c r="D597" t="s">
        <v>2549</v>
      </c>
      <c r="E597" t="s">
        <v>1535</v>
      </c>
      <c r="F597" t="s">
        <v>1514</v>
      </c>
      <c r="G597" t="s">
        <v>3682</v>
      </c>
      <c r="H597">
        <v>19</v>
      </c>
      <c r="I597">
        <v>2174.7600000000002</v>
      </c>
      <c r="J597">
        <v>41320.44</v>
      </c>
    </row>
    <row r="598" spans="1:10">
      <c r="A598" s="4">
        <v>45163</v>
      </c>
      <c r="B598" t="s">
        <v>3679</v>
      </c>
      <c r="C598" t="s">
        <v>3664</v>
      </c>
      <c r="D598" t="s">
        <v>2548</v>
      </c>
      <c r="E598" t="s">
        <v>1535</v>
      </c>
      <c r="F598" t="s">
        <v>1518</v>
      </c>
      <c r="G598" t="s">
        <v>3700</v>
      </c>
      <c r="H598">
        <v>1</v>
      </c>
      <c r="I598">
        <v>1678.18</v>
      </c>
      <c r="J598">
        <v>1678.18</v>
      </c>
    </row>
    <row r="599" spans="1:10">
      <c r="A599" s="4">
        <v>45042</v>
      </c>
      <c r="B599" t="s">
        <v>3683</v>
      </c>
      <c r="C599" t="s">
        <v>3660</v>
      </c>
      <c r="D599" t="s">
        <v>2549</v>
      </c>
      <c r="E599" t="s">
        <v>1535</v>
      </c>
      <c r="F599" t="s">
        <v>1514</v>
      </c>
      <c r="G599" t="s">
        <v>3697</v>
      </c>
      <c r="H599">
        <v>20</v>
      </c>
      <c r="I599">
        <v>2163.9499999999998</v>
      </c>
      <c r="J599">
        <v>43279</v>
      </c>
    </row>
    <row r="600" spans="1:10">
      <c r="A600" s="4">
        <v>45265</v>
      </c>
      <c r="B600" t="s">
        <v>3679</v>
      </c>
      <c r="C600" t="s">
        <v>3660</v>
      </c>
      <c r="D600" t="s">
        <v>2549</v>
      </c>
      <c r="E600" t="s">
        <v>1535</v>
      </c>
      <c r="F600" t="s">
        <v>1517</v>
      </c>
      <c r="G600" t="s">
        <v>3672</v>
      </c>
      <c r="H600">
        <v>18</v>
      </c>
      <c r="I600">
        <v>3511.28</v>
      </c>
      <c r="J600">
        <v>63203.040000000001</v>
      </c>
    </row>
    <row r="601" spans="1:10">
      <c r="A601" s="4">
        <v>44931</v>
      </c>
      <c r="B601" t="s">
        <v>3675</v>
      </c>
      <c r="C601" t="s">
        <v>3655</v>
      </c>
      <c r="D601" t="s">
        <v>2552</v>
      </c>
      <c r="E601" t="s">
        <v>1537</v>
      </c>
      <c r="F601" t="s">
        <v>1518</v>
      </c>
      <c r="G601" t="s">
        <v>3696</v>
      </c>
      <c r="H601">
        <v>13</v>
      </c>
      <c r="I601">
        <v>2979.65</v>
      </c>
      <c r="J601">
        <v>38735.449999999997</v>
      </c>
    </row>
    <row r="602" spans="1:10">
      <c r="A602" s="4">
        <v>45003</v>
      </c>
      <c r="B602" t="s">
        <v>3689</v>
      </c>
      <c r="C602" t="s">
        <v>3660</v>
      </c>
      <c r="D602" t="s">
        <v>2549</v>
      </c>
      <c r="E602" t="s">
        <v>1535</v>
      </c>
      <c r="F602" t="s">
        <v>1516</v>
      </c>
      <c r="G602" t="s">
        <v>3686</v>
      </c>
      <c r="H602">
        <v>4</v>
      </c>
      <c r="I602">
        <v>2985.48</v>
      </c>
      <c r="J602">
        <v>11941.92</v>
      </c>
    </row>
    <row r="603" spans="1:10">
      <c r="A603" s="4">
        <v>45036</v>
      </c>
      <c r="B603" t="s">
        <v>3681</v>
      </c>
      <c r="C603" t="s">
        <v>3655</v>
      </c>
      <c r="D603" t="s">
        <v>2552</v>
      </c>
      <c r="E603" t="s">
        <v>1537</v>
      </c>
      <c r="F603" t="s">
        <v>1518</v>
      </c>
      <c r="G603" t="s">
        <v>3680</v>
      </c>
      <c r="H603">
        <v>18</v>
      </c>
      <c r="I603">
        <v>3989.44</v>
      </c>
      <c r="J603">
        <v>71809.919999999998</v>
      </c>
    </row>
    <row r="604" spans="1:10">
      <c r="A604" s="4">
        <v>45195</v>
      </c>
      <c r="B604" t="s">
        <v>3681</v>
      </c>
      <c r="C604" t="s">
        <v>3663</v>
      </c>
      <c r="D604" t="s">
        <v>2548</v>
      </c>
      <c r="E604" t="s">
        <v>1535</v>
      </c>
      <c r="F604" t="s">
        <v>1514</v>
      </c>
      <c r="G604" t="s">
        <v>3698</v>
      </c>
      <c r="H604">
        <v>14</v>
      </c>
      <c r="I604">
        <v>2251.87</v>
      </c>
      <c r="J604">
        <v>31526.18</v>
      </c>
    </row>
    <row r="605" spans="1:10">
      <c r="A605" s="4">
        <v>45025</v>
      </c>
      <c r="B605" t="s">
        <v>3691</v>
      </c>
      <c r="C605" t="s">
        <v>3666</v>
      </c>
      <c r="D605" t="s">
        <v>2548</v>
      </c>
      <c r="E605" t="s">
        <v>1535</v>
      </c>
      <c r="F605" t="s">
        <v>3657</v>
      </c>
      <c r="G605" t="s">
        <v>3694</v>
      </c>
      <c r="H605">
        <v>8</v>
      </c>
      <c r="I605">
        <v>2519.3000000000002</v>
      </c>
      <c r="J605">
        <v>20154.400000000001</v>
      </c>
    </row>
    <row r="606" spans="1:10">
      <c r="A606" s="4">
        <v>45123</v>
      </c>
      <c r="B606" t="s">
        <v>3676</v>
      </c>
      <c r="C606" t="s">
        <v>3655</v>
      </c>
      <c r="D606" t="s">
        <v>2552</v>
      </c>
      <c r="E606" t="s">
        <v>1537</v>
      </c>
      <c r="F606" t="s">
        <v>1516</v>
      </c>
      <c r="G606" t="s">
        <v>3677</v>
      </c>
      <c r="H606">
        <v>3</v>
      </c>
      <c r="I606">
        <v>1129.8800000000001</v>
      </c>
      <c r="J606">
        <v>3389.64</v>
      </c>
    </row>
    <row r="607" spans="1:10">
      <c r="A607" s="4">
        <v>45205</v>
      </c>
      <c r="B607" t="s">
        <v>3673</v>
      </c>
      <c r="C607" t="s">
        <v>3663</v>
      </c>
      <c r="D607" t="s">
        <v>2548</v>
      </c>
      <c r="E607" t="s">
        <v>1535</v>
      </c>
      <c r="F607" t="s">
        <v>1517</v>
      </c>
      <c r="G607" t="s">
        <v>3699</v>
      </c>
      <c r="H607">
        <v>15</v>
      </c>
      <c r="I607">
        <v>4146.03</v>
      </c>
      <c r="J607">
        <v>62190.45</v>
      </c>
    </row>
    <row r="608" spans="1:10">
      <c r="A608" s="4">
        <v>45084</v>
      </c>
      <c r="B608" t="s">
        <v>3689</v>
      </c>
      <c r="C608" t="s">
        <v>3660</v>
      </c>
      <c r="D608" t="s">
        <v>2549</v>
      </c>
      <c r="E608" t="s">
        <v>1535</v>
      </c>
      <c r="F608" t="s">
        <v>1517</v>
      </c>
      <c r="G608" t="s">
        <v>3693</v>
      </c>
      <c r="H608">
        <v>4</v>
      </c>
      <c r="I608">
        <v>3564.22</v>
      </c>
      <c r="J608">
        <v>14256.88</v>
      </c>
    </row>
    <row r="609" spans="1:10">
      <c r="A609" s="4">
        <v>45246</v>
      </c>
      <c r="B609" t="s">
        <v>3689</v>
      </c>
      <c r="C609" t="s">
        <v>3661</v>
      </c>
      <c r="D609" t="s">
        <v>2550</v>
      </c>
      <c r="E609" t="s">
        <v>1537</v>
      </c>
      <c r="F609" t="s">
        <v>1517</v>
      </c>
      <c r="G609" t="s">
        <v>3699</v>
      </c>
      <c r="H609">
        <v>14</v>
      </c>
      <c r="I609">
        <v>414.51</v>
      </c>
      <c r="J609">
        <v>5803.14</v>
      </c>
    </row>
    <row r="610" spans="1:10">
      <c r="A610" s="4">
        <v>44951</v>
      </c>
      <c r="B610" t="s">
        <v>3691</v>
      </c>
      <c r="C610" t="s">
        <v>3663</v>
      </c>
      <c r="D610" t="s">
        <v>2548</v>
      </c>
      <c r="E610" t="s">
        <v>1535</v>
      </c>
      <c r="F610" t="s">
        <v>1517</v>
      </c>
      <c r="G610" t="s">
        <v>3693</v>
      </c>
      <c r="H610">
        <v>11</v>
      </c>
      <c r="I610">
        <v>1788.39</v>
      </c>
      <c r="J610">
        <v>19672.29</v>
      </c>
    </row>
    <row r="611" spans="1:10">
      <c r="A611" s="4">
        <v>45258</v>
      </c>
      <c r="B611" t="s">
        <v>3683</v>
      </c>
      <c r="C611" t="s">
        <v>3662</v>
      </c>
      <c r="D611" t="s">
        <v>2552</v>
      </c>
      <c r="E611" t="s">
        <v>1537</v>
      </c>
      <c r="F611" t="s">
        <v>1516</v>
      </c>
      <c r="G611" t="s">
        <v>3695</v>
      </c>
      <c r="H611">
        <v>6</v>
      </c>
      <c r="I611">
        <v>2867.98</v>
      </c>
      <c r="J611">
        <v>17207.88</v>
      </c>
    </row>
    <row r="612" spans="1:10">
      <c r="A612" s="4">
        <v>45123</v>
      </c>
      <c r="B612" t="s">
        <v>3679</v>
      </c>
      <c r="C612" t="s">
        <v>3660</v>
      </c>
      <c r="D612" t="s">
        <v>2549</v>
      </c>
      <c r="E612" t="s">
        <v>1535</v>
      </c>
      <c r="F612" t="s">
        <v>1516</v>
      </c>
      <c r="G612" t="s">
        <v>3677</v>
      </c>
      <c r="H612">
        <v>6</v>
      </c>
      <c r="I612">
        <v>3566.53</v>
      </c>
      <c r="J612">
        <v>21399.18</v>
      </c>
    </row>
    <row r="613" spans="1:10">
      <c r="A613" s="4">
        <v>45173</v>
      </c>
      <c r="B613" t="s">
        <v>3688</v>
      </c>
      <c r="C613" t="s">
        <v>3666</v>
      </c>
      <c r="D613" t="s">
        <v>2548</v>
      </c>
      <c r="E613" t="s">
        <v>1535</v>
      </c>
      <c r="F613" t="s">
        <v>1518</v>
      </c>
      <c r="G613" t="s">
        <v>3680</v>
      </c>
      <c r="H613">
        <v>13</v>
      </c>
      <c r="I613">
        <v>2669.5</v>
      </c>
      <c r="J613">
        <v>34703.5</v>
      </c>
    </row>
    <row r="614" spans="1:10">
      <c r="A614" s="4">
        <v>45144</v>
      </c>
      <c r="B614" t="s">
        <v>3684</v>
      </c>
      <c r="C614" t="s">
        <v>3656</v>
      </c>
      <c r="D614" t="s">
        <v>2550</v>
      </c>
      <c r="E614" t="s">
        <v>1537</v>
      </c>
      <c r="F614" t="s">
        <v>3657</v>
      </c>
      <c r="G614" t="s">
        <v>3694</v>
      </c>
      <c r="H614">
        <v>6</v>
      </c>
      <c r="I614">
        <v>3842.46</v>
      </c>
      <c r="J614">
        <v>23054.76</v>
      </c>
    </row>
    <row r="615" spans="1:10">
      <c r="A615" s="4">
        <v>45075</v>
      </c>
      <c r="B615" t="s">
        <v>3681</v>
      </c>
      <c r="C615" t="s">
        <v>3665</v>
      </c>
      <c r="D615" t="s">
        <v>2549</v>
      </c>
      <c r="E615" t="s">
        <v>1535</v>
      </c>
      <c r="F615" t="s">
        <v>1517</v>
      </c>
      <c r="G615" t="s">
        <v>3672</v>
      </c>
      <c r="H615">
        <v>13</v>
      </c>
      <c r="I615">
        <v>1419.3</v>
      </c>
      <c r="J615">
        <v>18450.900000000001</v>
      </c>
    </row>
    <row r="616" spans="1:10">
      <c r="A616" s="4">
        <v>45018</v>
      </c>
      <c r="B616" t="s">
        <v>3679</v>
      </c>
      <c r="C616" t="s">
        <v>3669</v>
      </c>
      <c r="D616" t="s">
        <v>2551</v>
      </c>
      <c r="E616" t="s">
        <v>1538</v>
      </c>
      <c r="F616" t="s">
        <v>1514</v>
      </c>
      <c r="G616" t="s">
        <v>3682</v>
      </c>
      <c r="H616">
        <v>1</v>
      </c>
      <c r="I616">
        <v>3187.31</v>
      </c>
      <c r="J616">
        <v>3187.31</v>
      </c>
    </row>
    <row r="617" spans="1:10">
      <c r="A617" s="4">
        <v>45232</v>
      </c>
      <c r="B617" t="s">
        <v>3673</v>
      </c>
      <c r="C617" t="s">
        <v>3667</v>
      </c>
      <c r="D617" t="s">
        <v>2552</v>
      </c>
      <c r="E617" t="s">
        <v>1537</v>
      </c>
      <c r="F617" t="s">
        <v>3657</v>
      </c>
      <c r="G617" t="s">
        <v>3694</v>
      </c>
      <c r="H617">
        <v>12</v>
      </c>
      <c r="I617">
        <v>1837.2</v>
      </c>
      <c r="J617">
        <v>22046.400000000001</v>
      </c>
    </row>
    <row r="618" spans="1:10">
      <c r="A618" s="4">
        <v>45285</v>
      </c>
      <c r="B618" t="s">
        <v>3679</v>
      </c>
      <c r="C618" t="s">
        <v>3663</v>
      </c>
      <c r="D618" t="s">
        <v>2548</v>
      </c>
      <c r="E618" t="s">
        <v>1535</v>
      </c>
      <c r="F618" t="s">
        <v>1514</v>
      </c>
      <c r="G618" t="s">
        <v>3698</v>
      </c>
      <c r="H618">
        <v>2</v>
      </c>
      <c r="I618">
        <v>4081.92</v>
      </c>
      <c r="J618">
        <v>8163.84</v>
      </c>
    </row>
    <row r="619" spans="1:10">
      <c r="A619" s="4">
        <v>45166</v>
      </c>
      <c r="B619" t="s">
        <v>3675</v>
      </c>
      <c r="C619" t="s">
        <v>3663</v>
      </c>
      <c r="D619" t="s">
        <v>2548</v>
      </c>
      <c r="E619" t="s">
        <v>1535</v>
      </c>
      <c r="F619" t="s">
        <v>3657</v>
      </c>
      <c r="G619" t="s">
        <v>3678</v>
      </c>
      <c r="H619">
        <v>20</v>
      </c>
      <c r="I619">
        <v>3184.86</v>
      </c>
      <c r="J619">
        <v>63697.2</v>
      </c>
    </row>
    <row r="620" spans="1:10">
      <c r="A620" s="4">
        <v>44957</v>
      </c>
      <c r="B620" t="s">
        <v>3681</v>
      </c>
      <c r="C620" t="s">
        <v>3661</v>
      </c>
      <c r="D620" t="s">
        <v>2550</v>
      </c>
      <c r="E620" t="s">
        <v>1537</v>
      </c>
      <c r="F620" t="s">
        <v>1517</v>
      </c>
      <c r="G620" t="s">
        <v>3699</v>
      </c>
      <c r="H620">
        <v>8</v>
      </c>
      <c r="I620">
        <v>3402.24</v>
      </c>
      <c r="J620">
        <v>27217.919999999998</v>
      </c>
    </row>
    <row r="621" spans="1:10">
      <c r="A621" s="4">
        <v>45171</v>
      </c>
      <c r="B621" t="s">
        <v>3681</v>
      </c>
      <c r="C621" t="s">
        <v>3654</v>
      </c>
      <c r="D621" t="s">
        <v>2549</v>
      </c>
      <c r="E621" t="s">
        <v>1535</v>
      </c>
      <c r="F621" t="s">
        <v>1517</v>
      </c>
      <c r="G621" t="s">
        <v>3699</v>
      </c>
      <c r="H621">
        <v>10</v>
      </c>
      <c r="I621">
        <v>2750.69</v>
      </c>
      <c r="J621">
        <v>27506.9</v>
      </c>
    </row>
    <row r="622" spans="1:10">
      <c r="A622" s="4">
        <v>44996</v>
      </c>
      <c r="B622" t="s">
        <v>3691</v>
      </c>
      <c r="C622" t="s">
        <v>3665</v>
      </c>
      <c r="D622" t="s">
        <v>2549</v>
      </c>
      <c r="E622" t="s">
        <v>1535</v>
      </c>
      <c r="F622" t="s">
        <v>1514</v>
      </c>
      <c r="G622" t="s">
        <v>3682</v>
      </c>
      <c r="H622">
        <v>13</v>
      </c>
      <c r="I622">
        <v>4090.9</v>
      </c>
      <c r="J622">
        <v>53181.7</v>
      </c>
    </row>
    <row r="623" spans="1:10">
      <c r="A623" s="4">
        <v>45118</v>
      </c>
      <c r="B623" t="s">
        <v>3689</v>
      </c>
      <c r="C623" t="s">
        <v>3667</v>
      </c>
      <c r="D623" t="s">
        <v>2552</v>
      </c>
      <c r="E623" t="s">
        <v>1537</v>
      </c>
      <c r="F623" t="s">
        <v>3657</v>
      </c>
      <c r="G623" t="s">
        <v>3692</v>
      </c>
      <c r="H623">
        <v>3</v>
      </c>
      <c r="I623">
        <v>4234</v>
      </c>
      <c r="J623">
        <v>12702</v>
      </c>
    </row>
    <row r="624" spans="1:10">
      <c r="A624" s="4">
        <v>45083</v>
      </c>
      <c r="B624" t="s">
        <v>3691</v>
      </c>
      <c r="C624" t="s">
        <v>3658</v>
      </c>
      <c r="D624" t="s">
        <v>2550</v>
      </c>
      <c r="E624" t="s">
        <v>1537</v>
      </c>
      <c r="F624" t="s">
        <v>1514</v>
      </c>
      <c r="G624" t="s">
        <v>3697</v>
      </c>
      <c r="H624">
        <v>12</v>
      </c>
      <c r="I624">
        <v>1701.3</v>
      </c>
      <c r="J624">
        <v>20415.599999999999</v>
      </c>
    </row>
    <row r="625" spans="1:10">
      <c r="A625" s="4">
        <v>45112</v>
      </c>
      <c r="B625" t="s">
        <v>3688</v>
      </c>
      <c r="C625" t="s">
        <v>3656</v>
      </c>
      <c r="D625" t="s">
        <v>2550</v>
      </c>
      <c r="E625" t="s">
        <v>1537</v>
      </c>
      <c r="F625" t="s">
        <v>1514</v>
      </c>
      <c r="G625" t="s">
        <v>3698</v>
      </c>
      <c r="H625">
        <v>18</v>
      </c>
      <c r="I625">
        <v>1599.01</v>
      </c>
      <c r="J625">
        <v>28782.18</v>
      </c>
    </row>
    <row r="626" spans="1:10">
      <c r="A626" s="4">
        <v>45076</v>
      </c>
      <c r="B626" t="s">
        <v>3688</v>
      </c>
      <c r="C626" t="s">
        <v>3662</v>
      </c>
      <c r="D626" t="s">
        <v>2552</v>
      </c>
      <c r="E626" t="s">
        <v>1537</v>
      </c>
      <c r="F626" t="s">
        <v>1514</v>
      </c>
      <c r="G626" t="s">
        <v>3682</v>
      </c>
      <c r="H626">
        <v>11</v>
      </c>
      <c r="I626">
        <v>4564.7299999999996</v>
      </c>
      <c r="J626">
        <v>50212.03</v>
      </c>
    </row>
    <row r="627" spans="1:10">
      <c r="A627" s="4">
        <v>45110</v>
      </c>
      <c r="B627" t="s">
        <v>3673</v>
      </c>
      <c r="C627" t="s">
        <v>3663</v>
      </c>
      <c r="D627" t="s">
        <v>2548</v>
      </c>
      <c r="E627" t="s">
        <v>1535</v>
      </c>
      <c r="F627" t="s">
        <v>1517</v>
      </c>
      <c r="G627" t="s">
        <v>3693</v>
      </c>
      <c r="H627">
        <v>14</v>
      </c>
      <c r="I627">
        <v>3507.75</v>
      </c>
      <c r="J627">
        <v>49108.5</v>
      </c>
    </row>
    <row r="628" spans="1:10">
      <c r="A628" s="4">
        <v>45011</v>
      </c>
      <c r="B628" t="s">
        <v>3684</v>
      </c>
      <c r="C628" t="s">
        <v>3659</v>
      </c>
      <c r="D628" t="s">
        <v>2551</v>
      </c>
      <c r="E628" t="s">
        <v>1538</v>
      </c>
      <c r="F628" t="s">
        <v>1518</v>
      </c>
      <c r="G628" t="s">
        <v>3680</v>
      </c>
      <c r="H628">
        <v>4</v>
      </c>
      <c r="I628">
        <v>810.38</v>
      </c>
      <c r="J628">
        <v>3241.52</v>
      </c>
    </row>
    <row r="629" spans="1:10">
      <c r="A629" s="4">
        <v>45097</v>
      </c>
      <c r="B629" t="s">
        <v>3673</v>
      </c>
      <c r="C629" t="s">
        <v>3665</v>
      </c>
      <c r="D629" t="s">
        <v>2549</v>
      </c>
      <c r="E629" t="s">
        <v>1535</v>
      </c>
      <c r="F629" t="s">
        <v>1514</v>
      </c>
      <c r="G629" t="s">
        <v>3697</v>
      </c>
      <c r="H629">
        <v>7</v>
      </c>
      <c r="I629">
        <v>698.8</v>
      </c>
      <c r="J629">
        <v>4891.6000000000004</v>
      </c>
    </row>
    <row r="630" spans="1:10">
      <c r="A630" s="4">
        <v>45179</v>
      </c>
      <c r="B630" t="s">
        <v>3689</v>
      </c>
      <c r="C630" t="s">
        <v>3661</v>
      </c>
      <c r="D630" t="s">
        <v>2550</v>
      </c>
      <c r="E630" t="s">
        <v>1537</v>
      </c>
      <c r="F630" t="s">
        <v>1514</v>
      </c>
      <c r="G630" t="s">
        <v>3698</v>
      </c>
      <c r="H630">
        <v>14</v>
      </c>
      <c r="I630">
        <v>2833.44</v>
      </c>
      <c r="J630">
        <v>39668.160000000003</v>
      </c>
    </row>
    <row r="631" spans="1:10">
      <c r="A631" s="4">
        <v>45000</v>
      </c>
      <c r="B631" t="s">
        <v>3679</v>
      </c>
      <c r="C631" t="s">
        <v>3667</v>
      </c>
      <c r="D631" t="s">
        <v>2552</v>
      </c>
      <c r="E631" t="s">
        <v>1537</v>
      </c>
      <c r="F631" t="s">
        <v>3657</v>
      </c>
      <c r="G631" t="s">
        <v>3692</v>
      </c>
      <c r="H631">
        <v>20</v>
      </c>
      <c r="I631">
        <v>2409.6799999999998</v>
      </c>
      <c r="J631">
        <v>48193.599999999999</v>
      </c>
    </row>
    <row r="632" spans="1:10">
      <c r="A632" s="4">
        <v>45175</v>
      </c>
      <c r="B632" t="s">
        <v>3689</v>
      </c>
      <c r="C632" t="s">
        <v>3656</v>
      </c>
      <c r="D632" t="s">
        <v>2550</v>
      </c>
      <c r="E632" t="s">
        <v>1537</v>
      </c>
      <c r="F632" t="s">
        <v>3657</v>
      </c>
      <c r="G632" t="s">
        <v>3694</v>
      </c>
      <c r="H632">
        <v>17</v>
      </c>
      <c r="I632">
        <v>2448.5100000000002</v>
      </c>
      <c r="J632">
        <v>41624.67</v>
      </c>
    </row>
    <row r="633" spans="1:10">
      <c r="A633" s="4">
        <v>45148</v>
      </c>
      <c r="B633" t="s">
        <v>3691</v>
      </c>
      <c r="C633" t="s">
        <v>3656</v>
      </c>
      <c r="D633" t="s">
        <v>2550</v>
      </c>
      <c r="E633" t="s">
        <v>1537</v>
      </c>
      <c r="F633" t="s">
        <v>1516</v>
      </c>
      <c r="G633" t="s">
        <v>3686</v>
      </c>
      <c r="H633">
        <v>7</v>
      </c>
      <c r="I633">
        <v>4029.58</v>
      </c>
      <c r="J633">
        <v>28207.06</v>
      </c>
    </row>
    <row r="634" spans="1:10">
      <c r="A634" s="4">
        <v>45183</v>
      </c>
      <c r="B634" t="s">
        <v>3679</v>
      </c>
      <c r="C634" t="s">
        <v>3658</v>
      </c>
      <c r="D634" t="s">
        <v>2550</v>
      </c>
      <c r="E634" t="s">
        <v>1537</v>
      </c>
      <c r="F634" t="s">
        <v>3657</v>
      </c>
      <c r="G634" t="s">
        <v>3690</v>
      </c>
      <c r="H634">
        <v>15</v>
      </c>
      <c r="I634">
        <v>3999.29</v>
      </c>
      <c r="J634">
        <v>59989.35</v>
      </c>
    </row>
    <row r="635" spans="1:10">
      <c r="A635" s="4">
        <v>45168</v>
      </c>
      <c r="B635" t="s">
        <v>3683</v>
      </c>
      <c r="C635" t="s">
        <v>3655</v>
      </c>
      <c r="D635" t="s">
        <v>2552</v>
      </c>
      <c r="E635" t="s">
        <v>1537</v>
      </c>
      <c r="F635" t="s">
        <v>1518</v>
      </c>
      <c r="G635" t="s">
        <v>3696</v>
      </c>
      <c r="H635">
        <v>17</v>
      </c>
      <c r="I635">
        <v>583.88</v>
      </c>
      <c r="J635">
        <v>9925.9599999999991</v>
      </c>
    </row>
    <row r="636" spans="1:10">
      <c r="A636" s="4">
        <v>45140</v>
      </c>
      <c r="B636" t="s">
        <v>3691</v>
      </c>
      <c r="C636" t="s">
        <v>3666</v>
      </c>
      <c r="D636" t="s">
        <v>2548</v>
      </c>
      <c r="E636" t="s">
        <v>1535</v>
      </c>
      <c r="F636" t="s">
        <v>1516</v>
      </c>
      <c r="G636" t="s">
        <v>3687</v>
      </c>
      <c r="H636">
        <v>7</v>
      </c>
      <c r="I636">
        <v>1319.32</v>
      </c>
      <c r="J636">
        <v>9235.24</v>
      </c>
    </row>
    <row r="637" spans="1:10">
      <c r="A637" s="4">
        <v>45068</v>
      </c>
      <c r="B637" t="s">
        <v>3681</v>
      </c>
      <c r="C637" t="s">
        <v>3660</v>
      </c>
      <c r="D637" t="s">
        <v>2549</v>
      </c>
      <c r="E637" t="s">
        <v>1535</v>
      </c>
      <c r="F637" t="s">
        <v>1517</v>
      </c>
      <c r="G637" t="s">
        <v>3701</v>
      </c>
      <c r="H637">
        <v>15</v>
      </c>
      <c r="I637">
        <v>2698.6</v>
      </c>
      <c r="J637">
        <v>40479</v>
      </c>
    </row>
    <row r="638" spans="1:10">
      <c r="A638" s="4">
        <v>45107</v>
      </c>
      <c r="B638" t="s">
        <v>3676</v>
      </c>
      <c r="C638" t="s">
        <v>3667</v>
      </c>
      <c r="D638" t="s">
        <v>2552</v>
      </c>
      <c r="E638" t="s">
        <v>1537</v>
      </c>
      <c r="F638" t="s">
        <v>1518</v>
      </c>
      <c r="G638" t="s">
        <v>3696</v>
      </c>
      <c r="H638">
        <v>19</v>
      </c>
      <c r="I638">
        <v>4364.6400000000003</v>
      </c>
      <c r="J638">
        <v>82928.160000000003</v>
      </c>
    </row>
    <row r="639" spans="1:10">
      <c r="A639" s="4">
        <v>45033</v>
      </c>
      <c r="B639" t="s">
        <v>3688</v>
      </c>
      <c r="C639" t="s">
        <v>3658</v>
      </c>
      <c r="D639" t="s">
        <v>2550</v>
      </c>
      <c r="E639" t="s">
        <v>1537</v>
      </c>
      <c r="F639" t="s">
        <v>1517</v>
      </c>
      <c r="G639" t="s">
        <v>3693</v>
      </c>
      <c r="H639">
        <v>8</v>
      </c>
      <c r="I639">
        <v>4740.97</v>
      </c>
      <c r="J639">
        <v>37927.760000000002</v>
      </c>
    </row>
    <row r="640" spans="1:10">
      <c r="A640" s="4">
        <v>45060</v>
      </c>
      <c r="B640" t="s">
        <v>3681</v>
      </c>
      <c r="C640" t="s">
        <v>3655</v>
      </c>
      <c r="D640" t="s">
        <v>2552</v>
      </c>
      <c r="E640" t="s">
        <v>1537</v>
      </c>
      <c r="F640" t="s">
        <v>1518</v>
      </c>
      <c r="G640" t="s">
        <v>3696</v>
      </c>
      <c r="H640">
        <v>4</v>
      </c>
      <c r="I640">
        <v>917.97</v>
      </c>
      <c r="J640">
        <v>3671.88</v>
      </c>
    </row>
    <row r="641" spans="1:10">
      <c r="A641" s="4">
        <v>45055</v>
      </c>
      <c r="B641" t="s">
        <v>3681</v>
      </c>
      <c r="C641" t="s">
        <v>3666</v>
      </c>
      <c r="D641" t="s">
        <v>2548</v>
      </c>
      <c r="E641" t="s">
        <v>1535</v>
      </c>
      <c r="F641" t="s">
        <v>1516</v>
      </c>
      <c r="G641" t="s">
        <v>3686</v>
      </c>
      <c r="H641">
        <v>10</v>
      </c>
      <c r="I641">
        <v>224.53</v>
      </c>
      <c r="J641">
        <v>2245.3000000000002</v>
      </c>
    </row>
    <row r="642" spans="1:10">
      <c r="A642" s="4">
        <v>44973</v>
      </c>
      <c r="B642" t="s">
        <v>3675</v>
      </c>
      <c r="C642" t="s">
        <v>3659</v>
      </c>
      <c r="D642" t="s">
        <v>2551</v>
      </c>
      <c r="E642" t="s">
        <v>1538</v>
      </c>
      <c r="F642" t="s">
        <v>1518</v>
      </c>
      <c r="G642" t="s">
        <v>3696</v>
      </c>
      <c r="H642">
        <v>1</v>
      </c>
      <c r="I642">
        <v>3246.08</v>
      </c>
      <c r="J642">
        <v>3246.08</v>
      </c>
    </row>
    <row r="643" spans="1:10">
      <c r="A643" s="4">
        <v>45248</v>
      </c>
      <c r="B643" t="s">
        <v>3676</v>
      </c>
      <c r="C643" t="s">
        <v>3660</v>
      </c>
      <c r="D643" t="s">
        <v>2549</v>
      </c>
      <c r="E643" t="s">
        <v>1535</v>
      </c>
      <c r="F643" t="s">
        <v>1517</v>
      </c>
      <c r="G643" t="s">
        <v>3701</v>
      </c>
      <c r="H643">
        <v>16</v>
      </c>
      <c r="I643">
        <v>1411.33</v>
      </c>
      <c r="J643">
        <v>22581.279999999999</v>
      </c>
    </row>
    <row r="644" spans="1:10">
      <c r="A644" s="4">
        <v>45051</v>
      </c>
      <c r="B644" t="s">
        <v>3673</v>
      </c>
      <c r="C644" t="s">
        <v>3656</v>
      </c>
      <c r="D644" t="s">
        <v>2550</v>
      </c>
      <c r="E644" t="s">
        <v>1537</v>
      </c>
      <c r="F644" t="s">
        <v>1516</v>
      </c>
      <c r="G644" t="s">
        <v>3695</v>
      </c>
      <c r="H644">
        <v>19</v>
      </c>
      <c r="I644">
        <v>2174.06</v>
      </c>
      <c r="J644">
        <v>41307.14</v>
      </c>
    </row>
    <row r="645" spans="1:10">
      <c r="A645" s="4">
        <v>45026</v>
      </c>
      <c r="B645" t="s">
        <v>3673</v>
      </c>
      <c r="C645" t="s">
        <v>3658</v>
      </c>
      <c r="D645" t="s">
        <v>2550</v>
      </c>
      <c r="E645" t="s">
        <v>1537</v>
      </c>
      <c r="F645" t="s">
        <v>3657</v>
      </c>
      <c r="G645" t="s">
        <v>3690</v>
      </c>
      <c r="H645">
        <v>2</v>
      </c>
      <c r="I645">
        <v>1194.4000000000001</v>
      </c>
      <c r="J645">
        <v>2388.8000000000002</v>
      </c>
    </row>
    <row r="646" spans="1:10">
      <c r="A646" s="4">
        <v>45188</v>
      </c>
      <c r="B646" t="s">
        <v>3689</v>
      </c>
      <c r="C646" t="s">
        <v>3666</v>
      </c>
      <c r="D646" t="s">
        <v>2548</v>
      </c>
      <c r="E646" t="s">
        <v>1535</v>
      </c>
      <c r="F646" t="s">
        <v>1516</v>
      </c>
      <c r="G646" t="s">
        <v>3686</v>
      </c>
      <c r="H646">
        <v>2</v>
      </c>
      <c r="I646">
        <v>3726.58</v>
      </c>
      <c r="J646">
        <v>7453.16</v>
      </c>
    </row>
    <row r="647" spans="1:10">
      <c r="A647" s="4">
        <v>45085</v>
      </c>
      <c r="B647" t="s">
        <v>3683</v>
      </c>
      <c r="C647" t="s">
        <v>3656</v>
      </c>
      <c r="D647" t="s">
        <v>2550</v>
      </c>
      <c r="E647" t="s">
        <v>1537</v>
      </c>
      <c r="F647" t="s">
        <v>1517</v>
      </c>
      <c r="G647" t="s">
        <v>3699</v>
      </c>
      <c r="H647">
        <v>5</v>
      </c>
      <c r="I647">
        <v>1599.65</v>
      </c>
      <c r="J647">
        <v>7998.25</v>
      </c>
    </row>
    <row r="648" spans="1:10">
      <c r="A648" s="4">
        <v>45258</v>
      </c>
      <c r="B648" t="s">
        <v>3688</v>
      </c>
      <c r="C648" t="s">
        <v>3668</v>
      </c>
      <c r="D648" t="s">
        <v>2551</v>
      </c>
      <c r="E648" t="s">
        <v>1538</v>
      </c>
      <c r="F648" t="s">
        <v>1517</v>
      </c>
      <c r="G648" t="s">
        <v>3672</v>
      </c>
      <c r="H648">
        <v>16</v>
      </c>
      <c r="I648">
        <v>1628.19</v>
      </c>
      <c r="J648">
        <v>26051.040000000001</v>
      </c>
    </row>
    <row r="649" spans="1:10">
      <c r="A649" s="4">
        <v>45070</v>
      </c>
      <c r="B649" t="s">
        <v>3688</v>
      </c>
      <c r="C649" t="s">
        <v>3667</v>
      </c>
      <c r="D649" t="s">
        <v>2552</v>
      </c>
      <c r="E649" t="s">
        <v>1537</v>
      </c>
      <c r="F649" t="s">
        <v>1516</v>
      </c>
      <c r="G649" t="s">
        <v>3687</v>
      </c>
      <c r="H649">
        <v>17</v>
      </c>
      <c r="I649">
        <v>3381.75</v>
      </c>
      <c r="J649">
        <v>57489.75</v>
      </c>
    </row>
    <row r="650" spans="1:10">
      <c r="A650" s="4">
        <v>45229</v>
      </c>
      <c r="B650" t="s">
        <v>3675</v>
      </c>
      <c r="C650" t="s">
        <v>3655</v>
      </c>
      <c r="D650" t="s">
        <v>2552</v>
      </c>
      <c r="E650" t="s">
        <v>1537</v>
      </c>
      <c r="F650" t="s">
        <v>1518</v>
      </c>
      <c r="G650" t="s">
        <v>3674</v>
      </c>
      <c r="H650">
        <v>18</v>
      </c>
      <c r="I650">
        <v>3627.09</v>
      </c>
      <c r="J650">
        <v>65287.62</v>
      </c>
    </row>
    <row r="651" spans="1:10">
      <c r="A651" s="4">
        <v>45077</v>
      </c>
      <c r="B651" t="s">
        <v>3673</v>
      </c>
      <c r="C651" t="s">
        <v>3666</v>
      </c>
      <c r="D651" t="s">
        <v>2548</v>
      </c>
      <c r="E651" t="s">
        <v>1535</v>
      </c>
      <c r="F651" t="s">
        <v>3657</v>
      </c>
      <c r="G651" t="s">
        <v>3678</v>
      </c>
      <c r="H651">
        <v>2</v>
      </c>
      <c r="I651">
        <v>3106.64</v>
      </c>
      <c r="J651">
        <v>6213.28</v>
      </c>
    </row>
    <row r="652" spans="1:10">
      <c r="A652" s="4">
        <v>44995</v>
      </c>
      <c r="B652" t="s">
        <v>3673</v>
      </c>
      <c r="C652" t="s">
        <v>3665</v>
      </c>
      <c r="D652" t="s">
        <v>2549</v>
      </c>
      <c r="E652" t="s">
        <v>1535</v>
      </c>
      <c r="F652" t="s">
        <v>1514</v>
      </c>
      <c r="G652" t="s">
        <v>3685</v>
      </c>
      <c r="H652">
        <v>15</v>
      </c>
      <c r="I652">
        <v>4310.01</v>
      </c>
      <c r="J652">
        <v>64650.15</v>
      </c>
    </row>
    <row r="653" spans="1:10">
      <c r="A653" s="4">
        <v>44988</v>
      </c>
      <c r="B653" t="s">
        <v>3684</v>
      </c>
      <c r="C653" t="s">
        <v>3664</v>
      </c>
      <c r="D653" t="s">
        <v>2548</v>
      </c>
      <c r="E653" t="s">
        <v>1535</v>
      </c>
      <c r="F653" t="s">
        <v>1517</v>
      </c>
      <c r="G653" t="s">
        <v>3672</v>
      </c>
      <c r="H653">
        <v>14</v>
      </c>
      <c r="I653">
        <v>3352.19</v>
      </c>
      <c r="J653">
        <v>46930.66</v>
      </c>
    </row>
    <row r="654" spans="1:10">
      <c r="A654" s="4">
        <v>45061</v>
      </c>
      <c r="B654" t="s">
        <v>3679</v>
      </c>
      <c r="C654" t="s">
        <v>3668</v>
      </c>
      <c r="D654" t="s">
        <v>2551</v>
      </c>
      <c r="E654" t="s">
        <v>1538</v>
      </c>
      <c r="F654" t="s">
        <v>1514</v>
      </c>
      <c r="G654" t="s">
        <v>3697</v>
      </c>
      <c r="H654">
        <v>18</v>
      </c>
      <c r="I654">
        <v>214.47</v>
      </c>
      <c r="J654">
        <v>3860.46</v>
      </c>
    </row>
    <row r="655" spans="1:10">
      <c r="A655" s="4">
        <v>45000</v>
      </c>
      <c r="B655" t="s">
        <v>3673</v>
      </c>
      <c r="C655" t="s">
        <v>3662</v>
      </c>
      <c r="D655" t="s">
        <v>2552</v>
      </c>
      <c r="E655" t="s">
        <v>1537</v>
      </c>
      <c r="F655" t="s">
        <v>3657</v>
      </c>
      <c r="G655" t="s">
        <v>3678</v>
      </c>
      <c r="H655">
        <v>3</v>
      </c>
      <c r="I655">
        <v>1810.87</v>
      </c>
      <c r="J655">
        <v>5432.61</v>
      </c>
    </row>
    <row r="656" spans="1:10">
      <c r="A656" s="4">
        <v>44956</v>
      </c>
      <c r="B656" t="s">
        <v>3689</v>
      </c>
      <c r="C656" t="s">
        <v>3669</v>
      </c>
      <c r="D656" t="s">
        <v>2551</v>
      </c>
      <c r="E656" t="s">
        <v>1538</v>
      </c>
      <c r="F656" t="s">
        <v>1517</v>
      </c>
      <c r="G656" t="s">
        <v>3699</v>
      </c>
      <c r="H656">
        <v>3</v>
      </c>
      <c r="I656">
        <v>1105.46</v>
      </c>
      <c r="J656">
        <v>3316.38</v>
      </c>
    </row>
    <row r="657" spans="1:10">
      <c r="A657" s="4">
        <v>45166</v>
      </c>
      <c r="B657" t="s">
        <v>3691</v>
      </c>
      <c r="C657" t="s">
        <v>3654</v>
      </c>
      <c r="D657" t="s">
        <v>2549</v>
      </c>
      <c r="E657" t="s">
        <v>1535</v>
      </c>
      <c r="F657" t="s">
        <v>3657</v>
      </c>
      <c r="G657" t="s">
        <v>3690</v>
      </c>
      <c r="H657">
        <v>10</v>
      </c>
      <c r="I657">
        <v>3707.43</v>
      </c>
      <c r="J657">
        <v>37074.300000000003</v>
      </c>
    </row>
    <row r="658" spans="1:10">
      <c r="A658" s="4">
        <v>45209</v>
      </c>
      <c r="B658" t="s">
        <v>3688</v>
      </c>
      <c r="C658" t="s">
        <v>3658</v>
      </c>
      <c r="D658" t="s">
        <v>2550</v>
      </c>
      <c r="E658" t="s">
        <v>1537</v>
      </c>
      <c r="F658" t="s">
        <v>1514</v>
      </c>
      <c r="G658" t="s">
        <v>3697</v>
      </c>
      <c r="H658">
        <v>18</v>
      </c>
      <c r="I658">
        <v>584.4</v>
      </c>
      <c r="J658">
        <v>10519.2</v>
      </c>
    </row>
    <row r="659" spans="1:10">
      <c r="A659" s="4">
        <v>44985</v>
      </c>
      <c r="B659" t="s">
        <v>3675</v>
      </c>
      <c r="C659" t="s">
        <v>3662</v>
      </c>
      <c r="D659" t="s">
        <v>2552</v>
      </c>
      <c r="E659" t="s">
        <v>1537</v>
      </c>
      <c r="F659" t="s">
        <v>1517</v>
      </c>
      <c r="G659" t="s">
        <v>3699</v>
      </c>
      <c r="H659">
        <v>1</v>
      </c>
      <c r="I659">
        <v>2498.7399999999998</v>
      </c>
      <c r="J659">
        <v>2498.7399999999998</v>
      </c>
    </row>
    <row r="660" spans="1:10">
      <c r="A660" s="4">
        <v>44992</v>
      </c>
      <c r="B660" t="s">
        <v>3681</v>
      </c>
      <c r="C660" t="s">
        <v>3667</v>
      </c>
      <c r="D660" t="s">
        <v>2552</v>
      </c>
      <c r="E660" t="s">
        <v>1537</v>
      </c>
      <c r="F660" t="s">
        <v>1514</v>
      </c>
      <c r="G660" t="s">
        <v>3697</v>
      </c>
      <c r="H660">
        <v>17</v>
      </c>
      <c r="I660">
        <v>2460.73</v>
      </c>
      <c r="J660">
        <v>41832.410000000003</v>
      </c>
    </row>
    <row r="661" spans="1:10">
      <c r="A661" s="4">
        <v>44938</v>
      </c>
      <c r="B661" t="s">
        <v>3689</v>
      </c>
      <c r="C661" t="s">
        <v>3660</v>
      </c>
      <c r="D661" t="s">
        <v>2549</v>
      </c>
      <c r="E661" t="s">
        <v>1535</v>
      </c>
      <c r="F661" t="s">
        <v>1517</v>
      </c>
      <c r="G661" t="s">
        <v>3672</v>
      </c>
      <c r="H661">
        <v>13</v>
      </c>
      <c r="I661">
        <v>4630.9799999999996</v>
      </c>
      <c r="J661">
        <v>60202.74</v>
      </c>
    </row>
    <row r="662" spans="1:10">
      <c r="A662" s="4">
        <v>45241</v>
      </c>
      <c r="B662" t="s">
        <v>3679</v>
      </c>
      <c r="C662" t="s">
        <v>3667</v>
      </c>
      <c r="D662" t="s">
        <v>2552</v>
      </c>
      <c r="E662" t="s">
        <v>1537</v>
      </c>
      <c r="F662" t="s">
        <v>1514</v>
      </c>
      <c r="G662" t="s">
        <v>3698</v>
      </c>
      <c r="H662">
        <v>3</v>
      </c>
      <c r="I662">
        <v>4324.88</v>
      </c>
      <c r="J662">
        <v>12974.64</v>
      </c>
    </row>
    <row r="663" spans="1:10">
      <c r="A663" s="4">
        <v>45211</v>
      </c>
      <c r="B663" t="s">
        <v>3673</v>
      </c>
      <c r="C663" t="s">
        <v>3669</v>
      </c>
      <c r="D663" t="s">
        <v>2551</v>
      </c>
      <c r="E663" t="s">
        <v>1538</v>
      </c>
      <c r="F663" t="s">
        <v>1514</v>
      </c>
      <c r="G663" t="s">
        <v>3698</v>
      </c>
      <c r="H663">
        <v>20</v>
      </c>
      <c r="I663">
        <v>4049.4</v>
      </c>
      <c r="J663">
        <v>80988</v>
      </c>
    </row>
    <row r="664" spans="1:10">
      <c r="A664" s="4">
        <v>45207</v>
      </c>
      <c r="B664" t="s">
        <v>3675</v>
      </c>
      <c r="C664" t="s">
        <v>3664</v>
      </c>
      <c r="D664" t="s">
        <v>2548</v>
      </c>
      <c r="E664" t="s">
        <v>1535</v>
      </c>
      <c r="F664" t="s">
        <v>3657</v>
      </c>
      <c r="G664" t="s">
        <v>3694</v>
      </c>
      <c r="H664">
        <v>16</v>
      </c>
      <c r="I664">
        <v>2347.21</v>
      </c>
      <c r="J664">
        <v>37555.360000000001</v>
      </c>
    </row>
    <row r="665" spans="1:10">
      <c r="A665" s="4">
        <v>45254</v>
      </c>
      <c r="B665" t="s">
        <v>3675</v>
      </c>
      <c r="C665" t="s">
        <v>3665</v>
      </c>
      <c r="D665" t="s">
        <v>2549</v>
      </c>
      <c r="E665" t="s">
        <v>1535</v>
      </c>
      <c r="F665" t="s">
        <v>1516</v>
      </c>
      <c r="G665" t="s">
        <v>3695</v>
      </c>
      <c r="H665">
        <v>2</v>
      </c>
      <c r="I665">
        <v>3743.52</v>
      </c>
      <c r="J665">
        <v>7487.04</v>
      </c>
    </row>
    <row r="666" spans="1:10">
      <c r="A666" s="4">
        <v>45221</v>
      </c>
      <c r="B666" t="s">
        <v>3676</v>
      </c>
      <c r="C666" t="s">
        <v>3655</v>
      </c>
      <c r="D666" t="s">
        <v>2552</v>
      </c>
      <c r="E666" t="s">
        <v>1537</v>
      </c>
      <c r="F666" t="s">
        <v>3657</v>
      </c>
      <c r="G666" t="s">
        <v>3692</v>
      </c>
      <c r="H666">
        <v>8</v>
      </c>
      <c r="I666">
        <v>303.48</v>
      </c>
      <c r="J666">
        <v>2427.84</v>
      </c>
    </row>
    <row r="667" spans="1:10">
      <c r="A667" s="4">
        <v>45183</v>
      </c>
      <c r="B667" t="s">
        <v>3688</v>
      </c>
      <c r="C667" t="s">
        <v>3661</v>
      </c>
      <c r="D667" t="s">
        <v>2550</v>
      </c>
      <c r="E667" t="s">
        <v>1537</v>
      </c>
      <c r="F667" t="s">
        <v>1517</v>
      </c>
      <c r="G667" t="s">
        <v>3693</v>
      </c>
      <c r="H667">
        <v>7</v>
      </c>
      <c r="I667">
        <v>1373.41</v>
      </c>
      <c r="J667">
        <v>9613.8700000000008</v>
      </c>
    </row>
    <row r="668" spans="1:10">
      <c r="A668" s="4">
        <v>45006</v>
      </c>
      <c r="B668" t="s">
        <v>3688</v>
      </c>
      <c r="C668" t="s">
        <v>3668</v>
      </c>
      <c r="D668" t="s">
        <v>2551</v>
      </c>
      <c r="E668" t="s">
        <v>1538</v>
      </c>
      <c r="F668" t="s">
        <v>1514</v>
      </c>
      <c r="G668" t="s">
        <v>3697</v>
      </c>
      <c r="H668">
        <v>10</v>
      </c>
      <c r="I668">
        <v>3048.2</v>
      </c>
      <c r="J668">
        <v>30482</v>
      </c>
    </row>
    <row r="669" spans="1:10">
      <c r="A669" s="4">
        <v>45290</v>
      </c>
      <c r="B669" t="s">
        <v>3689</v>
      </c>
      <c r="C669" t="s">
        <v>3663</v>
      </c>
      <c r="D669" t="s">
        <v>2548</v>
      </c>
      <c r="E669" t="s">
        <v>1535</v>
      </c>
      <c r="F669" t="s">
        <v>1517</v>
      </c>
      <c r="G669" t="s">
        <v>3693</v>
      </c>
      <c r="H669">
        <v>20</v>
      </c>
      <c r="I669">
        <v>2818.78</v>
      </c>
      <c r="J669">
        <v>56375.6</v>
      </c>
    </row>
    <row r="670" spans="1:10">
      <c r="A670" s="4">
        <v>45234</v>
      </c>
      <c r="B670" t="s">
        <v>3675</v>
      </c>
      <c r="C670" t="s">
        <v>3665</v>
      </c>
      <c r="D670" t="s">
        <v>2549</v>
      </c>
      <c r="E670" t="s">
        <v>1535</v>
      </c>
      <c r="F670" t="s">
        <v>1516</v>
      </c>
      <c r="G670" t="s">
        <v>3695</v>
      </c>
      <c r="H670">
        <v>1</v>
      </c>
      <c r="I670">
        <v>4647.3</v>
      </c>
      <c r="J670">
        <v>4647.3</v>
      </c>
    </row>
    <row r="671" spans="1:10">
      <c r="A671" s="4">
        <v>44964</v>
      </c>
      <c r="B671" t="s">
        <v>3676</v>
      </c>
      <c r="C671" t="s">
        <v>3666</v>
      </c>
      <c r="D671" t="s">
        <v>2548</v>
      </c>
      <c r="E671" t="s">
        <v>1535</v>
      </c>
      <c r="F671" t="s">
        <v>1516</v>
      </c>
      <c r="G671" t="s">
        <v>3677</v>
      </c>
      <c r="H671">
        <v>20</v>
      </c>
      <c r="I671">
        <v>2302.4699999999998</v>
      </c>
      <c r="J671">
        <v>46049.4</v>
      </c>
    </row>
    <row r="672" spans="1:10">
      <c r="A672" s="4">
        <v>45011</v>
      </c>
      <c r="B672" t="s">
        <v>3691</v>
      </c>
      <c r="C672" t="s">
        <v>3668</v>
      </c>
      <c r="D672" t="s">
        <v>2551</v>
      </c>
      <c r="E672" t="s">
        <v>1538</v>
      </c>
      <c r="F672" t="s">
        <v>1517</v>
      </c>
      <c r="G672" t="s">
        <v>3693</v>
      </c>
      <c r="H672">
        <v>17</v>
      </c>
      <c r="I672">
        <v>2805.45</v>
      </c>
      <c r="J672">
        <v>47692.65</v>
      </c>
    </row>
    <row r="673" spans="1:10">
      <c r="A673" s="4">
        <v>45030</v>
      </c>
      <c r="B673" t="s">
        <v>3691</v>
      </c>
      <c r="C673" t="s">
        <v>3661</v>
      </c>
      <c r="D673" t="s">
        <v>2550</v>
      </c>
      <c r="E673" t="s">
        <v>1537</v>
      </c>
      <c r="F673" t="s">
        <v>1514</v>
      </c>
      <c r="G673" t="s">
        <v>3685</v>
      </c>
      <c r="H673">
        <v>3</v>
      </c>
      <c r="I673">
        <v>413.26</v>
      </c>
      <c r="J673">
        <v>1239.78</v>
      </c>
    </row>
    <row r="674" spans="1:10">
      <c r="A674" s="4">
        <v>45004</v>
      </c>
      <c r="B674" t="s">
        <v>3681</v>
      </c>
      <c r="C674" t="s">
        <v>3666</v>
      </c>
      <c r="D674" t="s">
        <v>2548</v>
      </c>
      <c r="E674" t="s">
        <v>1535</v>
      </c>
      <c r="F674" t="s">
        <v>1516</v>
      </c>
      <c r="G674" t="s">
        <v>3686</v>
      </c>
      <c r="H674">
        <v>17</v>
      </c>
      <c r="I674">
        <v>3203.04</v>
      </c>
      <c r="J674">
        <v>54451.68</v>
      </c>
    </row>
    <row r="675" spans="1:10">
      <c r="A675" s="4">
        <v>45030</v>
      </c>
      <c r="B675" t="s">
        <v>3683</v>
      </c>
      <c r="C675" t="s">
        <v>3663</v>
      </c>
      <c r="D675" t="s">
        <v>2548</v>
      </c>
      <c r="E675" t="s">
        <v>1535</v>
      </c>
      <c r="F675" t="s">
        <v>1516</v>
      </c>
      <c r="G675" t="s">
        <v>3677</v>
      </c>
      <c r="H675">
        <v>4</v>
      </c>
      <c r="I675">
        <v>1906.89</v>
      </c>
      <c r="J675">
        <v>7627.56</v>
      </c>
    </row>
    <row r="676" spans="1:10">
      <c r="A676" s="4">
        <v>45103</v>
      </c>
      <c r="B676" t="s">
        <v>3689</v>
      </c>
      <c r="C676" t="s">
        <v>3669</v>
      </c>
      <c r="D676" t="s">
        <v>2551</v>
      </c>
      <c r="E676" t="s">
        <v>1538</v>
      </c>
      <c r="F676" t="s">
        <v>3657</v>
      </c>
      <c r="G676" t="s">
        <v>3694</v>
      </c>
      <c r="H676">
        <v>14</v>
      </c>
      <c r="I676">
        <v>3829.68</v>
      </c>
      <c r="J676">
        <v>53615.519999999997</v>
      </c>
    </row>
    <row r="677" spans="1:10">
      <c r="A677" s="4">
        <v>45040</v>
      </c>
      <c r="B677" t="s">
        <v>3675</v>
      </c>
      <c r="C677" t="s">
        <v>3656</v>
      </c>
      <c r="D677" t="s">
        <v>2550</v>
      </c>
      <c r="E677" t="s">
        <v>1537</v>
      </c>
      <c r="F677" t="s">
        <v>1518</v>
      </c>
      <c r="G677" t="s">
        <v>3674</v>
      </c>
      <c r="H677">
        <v>19</v>
      </c>
      <c r="I677">
        <v>2636.08</v>
      </c>
      <c r="J677">
        <v>50085.52</v>
      </c>
    </row>
    <row r="678" spans="1:10">
      <c r="A678" s="4">
        <v>45149</v>
      </c>
      <c r="B678" t="s">
        <v>3673</v>
      </c>
      <c r="C678" t="s">
        <v>3661</v>
      </c>
      <c r="D678" t="s">
        <v>2550</v>
      </c>
      <c r="E678" t="s">
        <v>1537</v>
      </c>
      <c r="F678" t="s">
        <v>1514</v>
      </c>
      <c r="G678" t="s">
        <v>3682</v>
      </c>
      <c r="H678">
        <v>13</v>
      </c>
      <c r="I678">
        <v>3994.86</v>
      </c>
      <c r="J678">
        <v>51933.18</v>
      </c>
    </row>
    <row r="679" spans="1:10">
      <c r="A679" s="4">
        <v>45102</v>
      </c>
      <c r="B679" t="s">
        <v>3681</v>
      </c>
      <c r="C679" t="s">
        <v>3663</v>
      </c>
      <c r="D679" t="s">
        <v>2548</v>
      </c>
      <c r="E679" t="s">
        <v>1535</v>
      </c>
      <c r="F679" t="s">
        <v>1518</v>
      </c>
      <c r="G679" t="s">
        <v>3680</v>
      </c>
      <c r="H679">
        <v>12</v>
      </c>
      <c r="I679">
        <v>1554.75</v>
      </c>
      <c r="J679">
        <v>18657</v>
      </c>
    </row>
    <row r="680" spans="1:10">
      <c r="A680" s="4">
        <v>44933</v>
      </c>
      <c r="B680" t="s">
        <v>3683</v>
      </c>
      <c r="C680" t="s">
        <v>3655</v>
      </c>
      <c r="D680" t="s">
        <v>2552</v>
      </c>
      <c r="E680" t="s">
        <v>1537</v>
      </c>
      <c r="F680" t="s">
        <v>1518</v>
      </c>
      <c r="G680" t="s">
        <v>3700</v>
      </c>
      <c r="H680">
        <v>9</v>
      </c>
      <c r="I680">
        <v>4674.04</v>
      </c>
      <c r="J680">
        <v>42066.36</v>
      </c>
    </row>
    <row r="681" spans="1:10">
      <c r="A681" s="4">
        <v>44961</v>
      </c>
      <c r="B681" t="s">
        <v>3683</v>
      </c>
      <c r="C681" t="s">
        <v>3664</v>
      </c>
      <c r="D681" t="s">
        <v>2548</v>
      </c>
      <c r="E681" t="s">
        <v>1535</v>
      </c>
      <c r="F681" t="s">
        <v>1517</v>
      </c>
      <c r="G681" t="s">
        <v>3672</v>
      </c>
      <c r="H681">
        <v>2</v>
      </c>
      <c r="I681">
        <v>1252.3</v>
      </c>
      <c r="J681">
        <v>2504.6</v>
      </c>
    </row>
    <row r="682" spans="1:10">
      <c r="A682" s="4">
        <v>45199</v>
      </c>
      <c r="B682" t="s">
        <v>3679</v>
      </c>
      <c r="C682" t="s">
        <v>3662</v>
      </c>
      <c r="D682" t="s">
        <v>2552</v>
      </c>
      <c r="E682" t="s">
        <v>1537</v>
      </c>
      <c r="F682" t="s">
        <v>1518</v>
      </c>
      <c r="G682" t="s">
        <v>3680</v>
      </c>
      <c r="H682">
        <v>15</v>
      </c>
      <c r="I682">
        <v>1738.86</v>
      </c>
      <c r="J682">
        <v>26082.9</v>
      </c>
    </row>
    <row r="683" spans="1:10">
      <c r="A683" s="4">
        <v>45229</v>
      </c>
      <c r="B683" t="s">
        <v>3675</v>
      </c>
      <c r="C683" t="s">
        <v>3666</v>
      </c>
      <c r="D683" t="s">
        <v>2548</v>
      </c>
      <c r="E683" t="s">
        <v>1535</v>
      </c>
      <c r="F683" t="s">
        <v>1516</v>
      </c>
      <c r="G683" t="s">
        <v>3686</v>
      </c>
      <c r="H683">
        <v>4</v>
      </c>
      <c r="I683">
        <v>2527.15</v>
      </c>
      <c r="J683">
        <v>10108.6</v>
      </c>
    </row>
    <row r="684" spans="1:10">
      <c r="A684" s="4">
        <v>44958</v>
      </c>
      <c r="B684" t="s">
        <v>3679</v>
      </c>
      <c r="C684" t="s">
        <v>3663</v>
      </c>
      <c r="D684" t="s">
        <v>2548</v>
      </c>
      <c r="E684" t="s">
        <v>1535</v>
      </c>
      <c r="F684" t="s">
        <v>1516</v>
      </c>
      <c r="G684" t="s">
        <v>3677</v>
      </c>
      <c r="H684">
        <v>17</v>
      </c>
      <c r="I684">
        <v>4247.5600000000004</v>
      </c>
      <c r="J684">
        <v>72208.52</v>
      </c>
    </row>
    <row r="685" spans="1:10">
      <c r="A685" s="4">
        <v>45279</v>
      </c>
      <c r="B685" t="s">
        <v>3689</v>
      </c>
      <c r="C685" t="s">
        <v>3656</v>
      </c>
      <c r="D685" t="s">
        <v>2550</v>
      </c>
      <c r="E685" t="s">
        <v>1537</v>
      </c>
      <c r="F685" t="s">
        <v>3657</v>
      </c>
      <c r="G685" t="s">
        <v>3678</v>
      </c>
      <c r="H685">
        <v>8</v>
      </c>
      <c r="I685">
        <v>978.4</v>
      </c>
      <c r="J685">
        <v>7827.2</v>
      </c>
    </row>
    <row r="686" spans="1:10">
      <c r="A686" s="4">
        <v>45141</v>
      </c>
      <c r="B686" t="s">
        <v>3689</v>
      </c>
      <c r="C686" t="s">
        <v>3664</v>
      </c>
      <c r="D686" t="s">
        <v>2548</v>
      </c>
      <c r="E686" t="s">
        <v>1535</v>
      </c>
      <c r="F686" t="s">
        <v>1517</v>
      </c>
      <c r="G686" t="s">
        <v>3699</v>
      </c>
      <c r="H686">
        <v>5</v>
      </c>
      <c r="I686">
        <v>1530.16</v>
      </c>
      <c r="J686">
        <v>7650.8</v>
      </c>
    </row>
    <row r="687" spans="1:10">
      <c r="A687" s="4">
        <v>44962</v>
      </c>
      <c r="B687" t="s">
        <v>3691</v>
      </c>
      <c r="C687" t="s">
        <v>3661</v>
      </c>
      <c r="D687" t="s">
        <v>2550</v>
      </c>
      <c r="E687" t="s">
        <v>1537</v>
      </c>
      <c r="F687" t="s">
        <v>1517</v>
      </c>
      <c r="G687" t="s">
        <v>3699</v>
      </c>
      <c r="H687">
        <v>15</v>
      </c>
      <c r="I687">
        <v>4748.62</v>
      </c>
      <c r="J687">
        <v>71229.3</v>
      </c>
    </row>
    <row r="688" spans="1:10">
      <c r="A688" s="4">
        <v>45249</v>
      </c>
      <c r="B688" t="s">
        <v>3689</v>
      </c>
      <c r="C688" t="s">
        <v>3667</v>
      </c>
      <c r="D688" t="s">
        <v>2552</v>
      </c>
      <c r="E688" t="s">
        <v>1537</v>
      </c>
      <c r="F688" t="s">
        <v>1517</v>
      </c>
      <c r="G688" t="s">
        <v>3672</v>
      </c>
      <c r="H688">
        <v>5</v>
      </c>
      <c r="I688">
        <v>4402.72</v>
      </c>
      <c r="J688">
        <v>22013.599999999999</v>
      </c>
    </row>
    <row r="689" spans="1:10">
      <c r="A689" s="4">
        <v>45117</v>
      </c>
      <c r="B689" t="s">
        <v>3673</v>
      </c>
      <c r="C689" t="s">
        <v>3654</v>
      </c>
      <c r="D689" t="s">
        <v>2549</v>
      </c>
      <c r="E689" t="s">
        <v>1535</v>
      </c>
      <c r="F689" t="s">
        <v>1516</v>
      </c>
      <c r="G689" t="s">
        <v>3677</v>
      </c>
      <c r="H689">
        <v>16</v>
      </c>
      <c r="I689">
        <v>3858.12</v>
      </c>
      <c r="J689">
        <v>61729.919999999998</v>
      </c>
    </row>
    <row r="690" spans="1:10">
      <c r="A690" s="4">
        <v>44956</v>
      </c>
      <c r="B690" t="s">
        <v>3676</v>
      </c>
      <c r="C690" t="s">
        <v>3664</v>
      </c>
      <c r="D690" t="s">
        <v>2548</v>
      </c>
      <c r="E690" t="s">
        <v>1535</v>
      </c>
      <c r="F690" t="s">
        <v>3657</v>
      </c>
      <c r="G690" t="s">
        <v>3690</v>
      </c>
      <c r="H690">
        <v>10</v>
      </c>
      <c r="I690">
        <v>4939.99</v>
      </c>
      <c r="J690">
        <v>49399.9</v>
      </c>
    </row>
    <row r="691" spans="1:10">
      <c r="A691" s="4">
        <v>45128</v>
      </c>
      <c r="B691" t="s">
        <v>3673</v>
      </c>
      <c r="C691" t="s">
        <v>3661</v>
      </c>
      <c r="D691" t="s">
        <v>2550</v>
      </c>
      <c r="E691" t="s">
        <v>1537</v>
      </c>
      <c r="F691" t="s">
        <v>1517</v>
      </c>
      <c r="G691" t="s">
        <v>3701</v>
      </c>
      <c r="H691">
        <v>8</v>
      </c>
      <c r="I691">
        <v>2394.87</v>
      </c>
      <c r="J691">
        <v>19158.96</v>
      </c>
    </row>
    <row r="692" spans="1:10">
      <c r="A692" s="4">
        <v>45257</v>
      </c>
      <c r="B692" t="s">
        <v>3675</v>
      </c>
      <c r="C692" t="s">
        <v>3664</v>
      </c>
      <c r="D692" t="s">
        <v>2548</v>
      </c>
      <c r="E692" t="s">
        <v>1535</v>
      </c>
      <c r="F692" t="s">
        <v>1516</v>
      </c>
      <c r="G692" t="s">
        <v>3695</v>
      </c>
      <c r="H692">
        <v>11</v>
      </c>
      <c r="I692">
        <v>3277.74</v>
      </c>
      <c r="J692">
        <v>36055.14</v>
      </c>
    </row>
    <row r="693" spans="1:10">
      <c r="A693" s="4">
        <v>45009</v>
      </c>
      <c r="B693" t="s">
        <v>3681</v>
      </c>
      <c r="C693" t="s">
        <v>3667</v>
      </c>
      <c r="D693" t="s">
        <v>2552</v>
      </c>
      <c r="E693" t="s">
        <v>1537</v>
      </c>
      <c r="F693" t="s">
        <v>1517</v>
      </c>
      <c r="G693" t="s">
        <v>3701</v>
      </c>
      <c r="H693">
        <v>5</v>
      </c>
      <c r="I693">
        <v>2411.33</v>
      </c>
      <c r="J693">
        <v>12056.65</v>
      </c>
    </row>
    <row r="694" spans="1:10">
      <c r="A694" s="4">
        <v>45016</v>
      </c>
      <c r="B694" t="s">
        <v>3676</v>
      </c>
      <c r="C694" t="s">
        <v>3663</v>
      </c>
      <c r="D694" t="s">
        <v>2548</v>
      </c>
      <c r="E694" t="s">
        <v>1535</v>
      </c>
      <c r="F694" t="s">
        <v>1518</v>
      </c>
      <c r="G694" t="s">
        <v>3696</v>
      </c>
      <c r="H694">
        <v>17</v>
      </c>
      <c r="I694">
        <v>3844.7</v>
      </c>
      <c r="J694">
        <v>65359.9</v>
      </c>
    </row>
    <row r="695" spans="1:10">
      <c r="A695" s="4">
        <v>45136</v>
      </c>
      <c r="B695" t="s">
        <v>3689</v>
      </c>
      <c r="C695" t="s">
        <v>3661</v>
      </c>
      <c r="D695" t="s">
        <v>2550</v>
      </c>
      <c r="E695" t="s">
        <v>1537</v>
      </c>
      <c r="F695" t="s">
        <v>1516</v>
      </c>
      <c r="G695" t="s">
        <v>3687</v>
      </c>
      <c r="H695">
        <v>14</v>
      </c>
      <c r="I695">
        <v>816.99</v>
      </c>
      <c r="J695">
        <v>11437.86</v>
      </c>
    </row>
    <row r="696" spans="1:10">
      <c r="A696" s="4">
        <v>45273</v>
      </c>
      <c r="B696" t="s">
        <v>3684</v>
      </c>
      <c r="C696" t="s">
        <v>3656</v>
      </c>
      <c r="D696" t="s">
        <v>2550</v>
      </c>
      <c r="E696" t="s">
        <v>1537</v>
      </c>
      <c r="F696" t="s">
        <v>1514</v>
      </c>
      <c r="G696" t="s">
        <v>3698</v>
      </c>
      <c r="H696">
        <v>3</v>
      </c>
      <c r="I696">
        <v>3102.92</v>
      </c>
      <c r="J696">
        <v>9308.76</v>
      </c>
    </row>
    <row r="697" spans="1:10">
      <c r="A697" s="4">
        <v>44970</v>
      </c>
      <c r="B697" t="s">
        <v>3679</v>
      </c>
      <c r="C697" t="s">
        <v>3663</v>
      </c>
      <c r="D697" t="s">
        <v>2548</v>
      </c>
      <c r="E697" t="s">
        <v>1535</v>
      </c>
      <c r="F697" t="s">
        <v>1514</v>
      </c>
      <c r="G697" t="s">
        <v>3685</v>
      </c>
      <c r="H697">
        <v>11</v>
      </c>
      <c r="I697">
        <v>490.34</v>
      </c>
      <c r="J697">
        <v>5393.74</v>
      </c>
    </row>
    <row r="698" spans="1:10">
      <c r="A698" s="4">
        <v>45186</v>
      </c>
      <c r="B698" t="s">
        <v>3683</v>
      </c>
      <c r="C698" t="s">
        <v>3665</v>
      </c>
      <c r="D698" t="s">
        <v>2549</v>
      </c>
      <c r="E698" t="s">
        <v>1535</v>
      </c>
      <c r="F698" t="s">
        <v>1516</v>
      </c>
      <c r="G698" t="s">
        <v>3687</v>
      </c>
      <c r="H698">
        <v>6</v>
      </c>
      <c r="I698">
        <v>4079.26</v>
      </c>
      <c r="J698">
        <v>24475.56</v>
      </c>
    </row>
    <row r="699" spans="1:10">
      <c r="A699" s="4">
        <v>44988</v>
      </c>
      <c r="B699" t="s">
        <v>3673</v>
      </c>
      <c r="C699" t="s">
        <v>3659</v>
      </c>
      <c r="D699" t="s">
        <v>2551</v>
      </c>
      <c r="E699" t="s">
        <v>1538</v>
      </c>
      <c r="F699" t="s">
        <v>1517</v>
      </c>
      <c r="G699" t="s">
        <v>3701</v>
      </c>
      <c r="H699">
        <v>12</v>
      </c>
      <c r="I699">
        <v>3229.61</v>
      </c>
      <c r="J699">
        <v>38755.32</v>
      </c>
    </row>
    <row r="700" spans="1:10">
      <c r="A700" s="4">
        <v>45208</v>
      </c>
      <c r="B700" t="s">
        <v>3681</v>
      </c>
      <c r="C700" t="s">
        <v>3658</v>
      </c>
      <c r="D700" t="s">
        <v>2550</v>
      </c>
      <c r="E700" t="s">
        <v>1537</v>
      </c>
      <c r="F700" t="s">
        <v>1518</v>
      </c>
      <c r="G700" t="s">
        <v>3696</v>
      </c>
      <c r="H700">
        <v>16</v>
      </c>
      <c r="I700">
        <v>1873.12</v>
      </c>
      <c r="J700">
        <v>29969.919999999998</v>
      </c>
    </row>
    <row r="701" spans="1:10">
      <c r="A701" s="4">
        <v>44996</v>
      </c>
      <c r="B701" t="s">
        <v>3679</v>
      </c>
      <c r="C701" t="s">
        <v>3654</v>
      </c>
      <c r="D701" t="s">
        <v>2549</v>
      </c>
      <c r="E701" t="s">
        <v>1535</v>
      </c>
      <c r="F701" t="s">
        <v>3657</v>
      </c>
      <c r="G701" t="s">
        <v>3692</v>
      </c>
      <c r="H701">
        <v>7</v>
      </c>
      <c r="I701">
        <v>1640.58</v>
      </c>
      <c r="J701">
        <v>11484.06</v>
      </c>
    </row>
    <row r="702" spans="1:10">
      <c r="A702" s="4">
        <v>45015</v>
      </c>
      <c r="B702" t="s">
        <v>3673</v>
      </c>
      <c r="C702" t="s">
        <v>3660</v>
      </c>
      <c r="D702" t="s">
        <v>2549</v>
      </c>
      <c r="E702" t="s">
        <v>1535</v>
      </c>
      <c r="F702" t="s">
        <v>1514</v>
      </c>
      <c r="G702" t="s">
        <v>3685</v>
      </c>
      <c r="H702">
        <v>13</v>
      </c>
      <c r="I702">
        <v>4843.21</v>
      </c>
      <c r="J702">
        <v>62961.73</v>
      </c>
    </row>
    <row r="703" spans="1:10">
      <c r="A703" s="4">
        <v>45229</v>
      </c>
      <c r="B703" t="s">
        <v>3691</v>
      </c>
      <c r="C703" t="s">
        <v>3669</v>
      </c>
      <c r="D703" t="s">
        <v>2551</v>
      </c>
      <c r="E703" t="s">
        <v>1538</v>
      </c>
      <c r="F703" t="s">
        <v>1518</v>
      </c>
      <c r="G703" t="s">
        <v>3674</v>
      </c>
      <c r="H703">
        <v>13</v>
      </c>
      <c r="I703">
        <v>1782.01</v>
      </c>
      <c r="J703">
        <v>23166.13</v>
      </c>
    </row>
    <row r="704" spans="1:10">
      <c r="A704" s="4">
        <v>45136</v>
      </c>
      <c r="B704" t="s">
        <v>3691</v>
      </c>
      <c r="C704" t="s">
        <v>3655</v>
      </c>
      <c r="D704" t="s">
        <v>2552</v>
      </c>
      <c r="E704" t="s">
        <v>1537</v>
      </c>
      <c r="F704" t="s">
        <v>3657</v>
      </c>
      <c r="G704" t="s">
        <v>3692</v>
      </c>
      <c r="H704">
        <v>19</v>
      </c>
      <c r="I704">
        <v>1120.5999999999999</v>
      </c>
      <c r="J704">
        <v>21291.4</v>
      </c>
    </row>
    <row r="705" spans="1:10">
      <c r="A705" s="4">
        <v>44981</v>
      </c>
      <c r="B705" t="s">
        <v>3684</v>
      </c>
      <c r="C705" t="s">
        <v>3667</v>
      </c>
      <c r="D705" t="s">
        <v>2552</v>
      </c>
      <c r="E705" t="s">
        <v>1537</v>
      </c>
      <c r="F705" t="s">
        <v>1517</v>
      </c>
      <c r="G705" t="s">
        <v>3693</v>
      </c>
      <c r="H705">
        <v>2</v>
      </c>
      <c r="I705">
        <v>1927.02</v>
      </c>
      <c r="J705">
        <v>3854.04</v>
      </c>
    </row>
    <row r="706" spans="1:10">
      <c r="A706" s="4">
        <v>44977</v>
      </c>
      <c r="B706" t="s">
        <v>3679</v>
      </c>
      <c r="C706" t="s">
        <v>3654</v>
      </c>
      <c r="D706" t="s">
        <v>2549</v>
      </c>
      <c r="E706" t="s">
        <v>1535</v>
      </c>
      <c r="F706" t="s">
        <v>1517</v>
      </c>
      <c r="G706" t="s">
        <v>3699</v>
      </c>
      <c r="H706">
        <v>15</v>
      </c>
      <c r="I706">
        <v>4642.6899999999996</v>
      </c>
      <c r="J706">
        <v>69640.350000000006</v>
      </c>
    </row>
    <row r="707" spans="1:10">
      <c r="A707" s="4">
        <v>45169</v>
      </c>
      <c r="B707" t="s">
        <v>3679</v>
      </c>
      <c r="C707" t="s">
        <v>3654</v>
      </c>
      <c r="D707" t="s">
        <v>2549</v>
      </c>
      <c r="E707" t="s">
        <v>1535</v>
      </c>
      <c r="F707" t="s">
        <v>1518</v>
      </c>
      <c r="G707" t="s">
        <v>3674</v>
      </c>
      <c r="H707">
        <v>19</v>
      </c>
      <c r="I707">
        <v>3316.87</v>
      </c>
      <c r="J707">
        <v>63020.53</v>
      </c>
    </row>
    <row r="708" spans="1:10">
      <c r="A708" s="4">
        <v>45142</v>
      </c>
      <c r="B708" t="s">
        <v>3675</v>
      </c>
      <c r="C708" t="s">
        <v>3666</v>
      </c>
      <c r="D708" t="s">
        <v>2548</v>
      </c>
      <c r="E708" t="s">
        <v>1535</v>
      </c>
      <c r="F708" t="s">
        <v>1518</v>
      </c>
      <c r="G708" t="s">
        <v>3700</v>
      </c>
      <c r="H708">
        <v>19</v>
      </c>
      <c r="I708">
        <v>1372.28</v>
      </c>
      <c r="J708">
        <v>26073.32</v>
      </c>
    </row>
    <row r="709" spans="1:10">
      <c r="A709" s="4">
        <v>44932</v>
      </c>
      <c r="B709" t="s">
        <v>3679</v>
      </c>
      <c r="C709" t="s">
        <v>3667</v>
      </c>
      <c r="D709" t="s">
        <v>2552</v>
      </c>
      <c r="E709" t="s">
        <v>1537</v>
      </c>
      <c r="F709" t="s">
        <v>1518</v>
      </c>
      <c r="G709" t="s">
        <v>3700</v>
      </c>
      <c r="H709">
        <v>8</v>
      </c>
      <c r="I709">
        <v>4786.4799999999996</v>
      </c>
      <c r="J709">
        <v>38291.839999999997</v>
      </c>
    </row>
    <row r="710" spans="1:10">
      <c r="A710" s="4">
        <v>44956</v>
      </c>
      <c r="B710" t="s">
        <v>3676</v>
      </c>
      <c r="C710" t="s">
        <v>3656</v>
      </c>
      <c r="D710" t="s">
        <v>2550</v>
      </c>
      <c r="E710" t="s">
        <v>1537</v>
      </c>
      <c r="F710" t="s">
        <v>1517</v>
      </c>
      <c r="G710" t="s">
        <v>3699</v>
      </c>
      <c r="H710">
        <v>18</v>
      </c>
      <c r="I710">
        <v>620.92999999999995</v>
      </c>
      <c r="J710">
        <v>11176.74</v>
      </c>
    </row>
    <row r="711" spans="1:10">
      <c r="A711" s="4">
        <v>45214</v>
      </c>
      <c r="B711" t="s">
        <v>3691</v>
      </c>
      <c r="C711" t="s">
        <v>3656</v>
      </c>
      <c r="D711" t="s">
        <v>2550</v>
      </c>
      <c r="E711" t="s">
        <v>1537</v>
      </c>
      <c r="F711" t="s">
        <v>1514</v>
      </c>
      <c r="G711" t="s">
        <v>3698</v>
      </c>
      <c r="H711">
        <v>4</v>
      </c>
      <c r="I711">
        <v>1241.21</v>
      </c>
      <c r="J711">
        <v>4964.84</v>
      </c>
    </row>
    <row r="712" spans="1:10">
      <c r="A712" s="4">
        <v>45120</v>
      </c>
      <c r="B712" t="s">
        <v>3673</v>
      </c>
      <c r="C712" t="s">
        <v>3665</v>
      </c>
      <c r="D712" t="s">
        <v>2549</v>
      </c>
      <c r="E712" t="s">
        <v>1535</v>
      </c>
      <c r="F712" t="s">
        <v>1514</v>
      </c>
      <c r="G712" t="s">
        <v>3698</v>
      </c>
      <c r="H712">
        <v>10</v>
      </c>
      <c r="I712">
        <v>1823.34</v>
      </c>
      <c r="J712">
        <v>18233.400000000001</v>
      </c>
    </row>
    <row r="713" spans="1:10">
      <c r="A713" s="4">
        <v>45146</v>
      </c>
      <c r="B713" t="s">
        <v>3689</v>
      </c>
      <c r="C713" t="s">
        <v>3665</v>
      </c>
      <c r="D713" t="s">
        <v>2549</v>
      </c>
      <c r="E713" t="s">
        <v>1535</v>
      </c>
      <c r="F713" t="s">
        <v>1516</v>
      </c>
      <c r="G713" t="s">
        <v>3686</v>
      </c>
      <c r="H713">
        <v>10</v>
      </c>
      <c r="I713">
        <v>4304.71</v>
      </c>
      <c r="J713">
        <v>43047.1</v>
      </c>
    </row>
    <row r="714" spans="1:10">
      <c r="A714" s="4">
        <v>45193</v>
      </c>
      <c r="B714" t="s">
        <v>3691</v>
      </c>
      <c r="C714" t="s">
        <v>3661</v>
      </c>
      <c r="D714" t="s">
        <v>2550</v>
      </c>
      <c r="E714" t="s">
        <v>1537</v>
      </c>
      <c r="F714" t="s">
        <v>3657</v>
      </c>
      <c r="G714" t="s">
        <v>3692</v>
      </c>
      <c r="H714">
        <v>11</v>
      </c>
      <c r="I714">
        <v>4446.37</v>
      </c>
      <c r="J714">
        <v>48910.07</v>
      </c>
    </row>
    <row r="715" spans="1:10">
      <c r="A715" s="4">
        <v>45227</v>
      </c>
      <c r="B715" t="s">
        <v>3676</v>
      </c>
      <c r="C715" t="s">
        <v>3654</v>
      </c>
      <c r="D715" t="s">
        <v>2549</v>
      </c>
      <c r="E715" t="s">
        <v>1535</v>
      </c>
      <c r="F715" t="s">
        <v>3657</v>
      </c>
      <c r="G715" t="s">
        <v>3678</v>
      </c>
      <c r="H715">
        <v>8</v>
      </c>
      <c r="I715">
        <v>465.32</v>
      </c>
      <c r="J715">
        <v>3722.56</v>
      </c>
    </row>
    <row r="716" spans="1:10">
      <c r="A716" s="4">
        <v>45221</v>
      </c>
      <c r="B716" t="s">
        <v>3683</v>
      </c>
      <c r="C716" t="s">
        <v>3658</v>
      </c>
      <c r="D716" t="s">
        <v>2550</v>
      </c>
      <c r="E716" t="s">
        <v>1537</v>
      </c>
      <c r="F716" t="s">
        <v>1518</v>
      </c>
      <c r="G716" t="s">
        <v>3696</v>
      </c>
      <c r="H716">
        <v>1</v>
      </c>
      <c r="I716">
        <v>3431.7</v>
      </c>
      <c r="J716">
        <v>3431.7</v>
      </c>
    </row>
    <row r="717" spans="1:10">
      <c r="A717" s="4">
        <v>45198</v>
      </c>
      <c r="B717" t="s">
        <v>3679</v>
      </c>
      <c r="C717" t="s">
        <v>3654</v>
      </c>
      <c r="D717" t="s">
        <v>2549</v>
      </c>
      <c r="E717" t="s">
        <v>1535</v>
      </c>
      <c r="F717" t="s">
        <v>1517</v>
      </c>
      <c r="G717" t="s">
        <v>3699</v>
      </c>
      <c r="H717">
        <v>20</v>
      </c>
      <c r="I717">
        <v>1365.33</v>
      </c>
      <c r="J717">
        <v>27306.6</v>
      </c>
    </row>
    <row r="718" spans="1:10">
      <c r="A718" s="4">
        <v>45276</v>
      </c>
      <c r="B718" t="s">
        <v>3676</v>
      </c>
      <c r="C718" t="s">
        <v>3661</v>
      </c>
      <c r="D718" t="s">
        <v>2550</v>
      </c>
      <c r="E718" t="s">
        <v>1537</v>
      </c>
      <c r="F718" t="s">
        <v>1514</v>
      </c>
      <c r="G718" t="s">
        <v>3682</v>
      </c>
      <c r="H718">
        <v>14</v>
      </c>
      <c r="I718">
        <v>2343.4</v>
      </c>
      <c r="J718">
        <v>32807.599999999999</v>
      </c>
    </row>
    <row r="719" spans="1:10">
      <c r="A719" s="4">
        <v>44932</v>
      </c>
      <c r="B719" t="s">
        <v>3688</v>
      </c>
      <c r="C719" t="s">
        <v>3663</v>
      </c>
      <c r="D719" t="s">
        <v>2548</v>
      </c>
      <c r="E719" t="s">
        <v>1535</v>
      </c>
      <c r="F719" t="s">
        <v>1514</v>
      </c>
      <c r="G719" t="s">
        <v>3685</v>
      </c>
      <c r="H719">
        <v>15</v>
      </c>
      <c r="I719">
        <v>447.71</v>
      </c>
      <c r="J719">
        <v>6715.65</v>
      </c>
    </row>
    <row r="720" spans="1:10">
      <c r="A720" s="4">
        <v>44931</v>
      </c>
      <c r="B720" t="s">
        <v>3688</v>
      </c>
      <c r="C720" t="s">
        <v>3664</v>
      </c>
      <c r="D720" t="s">
        <v>2548</v>
      </c>
      <c r="E720" t="s">
        <v>1535</v>
      </c>
      <c r="F720" t="s">
        <v>3657</v>
      </c>
      <c r="G720" t="s">
        <v>3694</v>
      </c>
      <c r="H720">
        <v>3</v>
      </c>
      <c r="I720">
        <v>2393.7199999999998</v>
      </c>
      <c r="J720">
        <v>7181.16</v>
      </c>
    </row>
    <row r="721" spans="1:10">
      <c r="A721" s="4">
        <v>45257</v>
      </c>
      <c r="B721" t="s">
        <v>3691</v>
      </c>
      <c r="C721" t="s">
        <v>3669</v>
      </c>
      <c r="D721" t="s">
        <v>2551</v>
      </c>
      <c r="E721" t="s">
        <v>1538</v>
      </c>
      <c r="F721" t="s">
        <v>1516</v>
      </c>
      <c r="G721" t="s">
        <v>3686</v>
      </c>
      <c r="H721">
        <v>20</v>
      </c>
      <c r="I721">
        <v>138.6</v>
      </c>
      <c r="J721">
        <v>2772</v>
      </c>
    </row>
    <row r="722" spans="1:10">
      <c r="A722" s="4">
        <v>45291</v>
      </c>
      <c r="B722" t="s">
        <v>3684</v>
      </c>
      <c r="C722" t="s">
        <v>3654</v>
      </c>
      <c r="D722" t="s">
        <v>2549</v>
      </c>
      <c r="E722" t="s">
        <v>1535</v>
      </c>
      <c r="F722" t="s">
        <v>3657</v>
      </c>
      <c r="G722" t="s">
        <v>3678</v>
      </c>
      <c r="H722">
        <v>6</v>
      </c>
      <c r="I722">
        <v>3119.62</v>
      </c>
      <c r="J722">
        <v>18717.72</v>
      </c>
    </row>
    <row r="723" spans="1:10">
      <c r="A723" s="4">
        <v>45189</v>
      </c>
      <c r="B723" t="s">
        <v>3681</v>
      </c>
      <c r="C723" t="s">
        <v>3656</v>
      </c>
      <c r="D723" t="s">
        <v>2550</v>
      </c>
      <c r="E723" t="s">
        <v>1537</v>
      </c>
      <c r="F723" t="s">
        <v>1514</v>
      </c>
      <c r="G723" t="s">
        <v>3698</v>
      </c>
      <c r="H723">
        <v>1</v>
      </c>
      <c r="I723">
        <v>4175.7</v>
      </c>
      <c r="J723">
        <v>4175.7</v>
      </c>
    </row>
    <row r="724" spans="1:10">
      <c r="A724" s="4">
        <v>45283</v>
      </c>
      <c r="B724" t="s">
        <v>3689</v>
      </c>
      <c r="C724" t="s">
        <v>3668</v>
      </c>
      <c r="D724" t="s">
        <v>2551</v>
      </c>
      <c r="E724" t="s">
        <v>1538</v>
      </c>
      <c r="F724" t="s">
        <v>1518</v>
      </c>
      <c r="G724" t="s">
        <v>3696</v>
      </c>
      <c r="H724">
        <v>17</v>
      </c>
      <c r="I724">
        <v>2655.23</v>
      </c>
      <c r="J724">
        <v>45138.91</v>
      </c>
    </row>
    <row r="725" spans="1:10">
      <c r="A725" s="4">
        <v>45201</v>
      </c>
      <c r="B725" t="s">
        <v>3688</v>
      </c>
      <c r="C725" t="s">
        <v>3659</v>
      </c>
      <c r="D725" t="s">
        <v>2551</v>
      </c>
      <c r="E725" t="s">
        <v>1538</v>
      </c>
      <c r="F725" t="s">
        <v>3657</v>
      </c>
      <c r="G725" t="s">
        <v>3694</v>
      </c>
      <c r="H725">
        <v>14</v>
      </c>
      <c r="I725">
        <v>4235.22</v>
      </c>
      <c r="J725">
        <v>59293.08</v>
      </c>
    </row>
    <row r="726" spans="1:10">
      <c r="A726" s="4">
        <v>45071</v>
      </c>
      <c r="B726" t="s">
        <v>3673</v>
      </c>
      <c r="C726" t="s">
        <v>3669</v>
      </c>
      <c r="D726" t="s">
        <v>2551</v>
      </c>
      <c r="E726" t="s">
        <v>1538</v>
      </c>
      <c r="F726" t="s">
        <v>1518</v>
      </c>
      <c r="G726" t="s">
        <v>3696</v>
      </c>
      <c r="H726">
        <v>20</v>
      </c>
      <c r="I726">
        <v>3393.01</v>
      </c>
      <c r="J726">
        <v>67860.2</v>
      </c>
    </row>
    <row r="727" spans="1:10">
      <c r="A727" s="4">
        <v>45018</v>
      </c>
      <c r="B727" t="s">
        <v>3688</v>
      </c>
      <c r="C727" t="s">
        <v>3655</v>
      </c>
      <c r="D727" t="s">
        <v>2552</v>
      </c>
      <c r="E727" t="s">
        <v>1537</v>
      </c>
      <c r="F727" t="s">
        <v>1514</v>
      </c>
      <c r="G727" t="s">
        <v>3682</v>
      </c>
      <c r="H727">
        <v>14</v>
      </c>
      <c r="I727">
        <v>1247.48</v>
      </c>
      <c r="J727">
        <v>17464.72</v>
      </c>
    </row>
    <row r="728" spans="1:10">
      <c r="A728" s="4">
        <v>45143</v>
      </c>
      <c r="B728" t="s">
        <v>3689</v>
      </c>
      <c r="C728" t="s">
        <v>3663</v>
      </c>
      <c r="D728" t="s">
        <v>2548</v>
      </c>
      <c r="E728" t="s">
        <v>1535</v>
      </c>
      <c r="F728" t="s">
        <v>1516</v>
      </c>
      <c r="G728" t="s">
        <v>3677</v>
      </c>
      <c r="H728">
        <v>20</v>
      </c>
      <c r="I728">
        <v>4428.59</v>
      </c>
      <c r="J728">
        <v>88571.8</v>
      </c>
    </row>
    <row r="729" spans="1:10">
      <c r="A729" s="4">
        <v>45265</v>
      </c>
      <c r="B729" t="s">
        <v>3681</v>
      </c>
      <c r="C729" t="s">
        <v>3656</v>
      </c>
      <c r="D729" t="s">
        <v>2550</v>
      </c>
      <c r="E729" t="s">
        <v>1537</v>
      </c>
      <c r="F729" t="s">
        <v>1518</v>
      </c>
      <c r="G729" t="s">
        <v>3674</v>
      </c>
      <c r="H729">
        <v>9</v>
      </c>
      <c r="I729">
        <v>2251.19</v>
      </c>
      <c r="J729">
        <v>20260.71</v>
      </c>
    </row>
    <row r="730" spans="1:10">
      <c r="A730" s="4">
        <v>45001</v>
      </c>
      <c r="B730" t="s">
        <v>3676</v>
      </c>
      <c r="C730" t="s">
        <v>3661</v>
      </c>
      <c r="D730" t="s">
        <v>2550</v>
      </c>
      <c r="E730" t="s">
        <v>1537</v>
      </c>
      <c r="F730" t="s">
        <v>1514</v>
      </c>
      <c r="G730" t="s">
        <v>3697</v>
      </c>
      <c r="H730">
        <v>19</v>
      </c>
      <c r="I730">
        <v>2240.89</v>
      </c>
      <c r="J730">
        <v>42576.91</v>
      </c>
    </row>
    <row r="731" spans="1:10">
      <c r="A731" s="4">
        <v>45206</v>
      </c>
      <c r="B731" t="s">
        <v>3683</v>
      </c>
      <c r="C731" t="s">
        <v>3669</v>
      </c>
      <c r="D731" t="s">
        <v>2551</v>
      </c>
      <c r="E731" t="s">
        <v>1538</v>
      </c>
      <c r="F731" t="s">
        <v>1517</v>
      </c>
      <c r="G731" t="s">
        <v>3699</v>
      </c>
      <c r="H731">
        <v>19</v>
      </c>
      <c r="I731">
        <v>4089.21</v>
      </c>
      <c r="J731">
        <v>77694.990000000005</v>
      </c>
    </row>
    <row r="732" spans="1:10">
      <c r="A732" s="4">
        <v>45255</v>
      </c>
      <c r="B732" t="s">
        <v>3688</v>
      </c>
      <c r="C732" t="s">
        <v>3661</v>
      </c>
      <c r="D732" t="s">
        <v>2550</v>
      </c>
      <c r="E732" t="s">
        <v>1537</v>
      </c>
      <c r="F732" t="s">
        <v>3657</v>
      </c>
      <c r="G732" t="s">
        <v>3690</v>
      </c>
      <c r="H732">
        <v>6</v>
      </c>
      <c r="I732">
        <v>4286.28</v>
      </c>
      <c r="J732">
        <v>25717.68</v>
      </c>
    </row>
    <row r="733" spans="1:10">
      <c r="A733" s="4">
        <v>45076</v>
      </c>
      <c r="B733" t="s">
        <v>3679</v>
      </c>
      <c r="C733" t="s">
        <v>3658</v>
      </c>
      <c r="D733" t="s">
        <v>2550</v>
      </c>
      <c r="E733" t="s">
        <v>1537</v>
      </c>
      <c r="F733" t="s">
        <v>1514</v>
      </c>
      <c r="G733" t="s">
        <v>3685</v>
      </c>
      <c r="H733">
        <v>20</v>
      </c>
      <c r="I733">
        <v>1316.67</v>
      </c>
      <c r="J733">
        <v>26333.4</v>
      </c>
    </row>
    <row r="734" spans="1:10">
      <c r="A734" s="4">
        <v>44941</v>
      </c>
      <c r="B734" t="s">
        <v>3688</v>
      </c>
      <c r="C734" t="s">
        <v>3666</v>
      </c>
      <c r="D734" t="s">
        <v>2548</v>
      </c>
      <c r="E734" t="s">
        <v>1535</v>
      </c>
      <c r="F734" t="s">
        <v>1516</v>
      </c>
      <c r="G734" t="s">
        <v>3695</v>
      </c>
      <c r="H734">
        <v>17</v>
      </c>
      <c r="I734">
        <v>3145.73</v>
      </c>
      <c r="J734">
        <v>53477.41</v>
      </c>
    </row>
    <row r="735" spans="1:10">
      <c r="A735" s="4">
        <v>45187</v>
      </c>
      <c r="B735" t="s">
        <v>3688</v>
      </c>
      <c r="C735" t="s">
        <v>3665</v>
      </c>
      <c r="D735" t="s">
        <v>2549</v>
      </c>
      <c r="E735" t="s">
        <v>1535</v>
      </c>
      <c r="F735" t="s">
        <v>1516</v>
      </c>
      <c r="G735" t="s">
        <v>3686</v>
      </c>
      <c r="H735">
        <v>10</v>
      </c>
      <c r="I735">
        <v>2523.59</v>
      </c>
      <c r="J735">
        <v>25235.9</v>
      </c>
    </row>
    <row r="736" spans="1:10">
      <c r="A736" s="4">
        <v>45195</v>
      </c>
      <c r="B736" t="s">
        <v>3676</v>
      </c>
      <c r="C736" t="s">
        <v>3668</v>
      </c>
      <c r="D736" t="s">
        <v>2551</v>
      </c>
      <c r="E736" t="s">
        <v>1538</v>
      </c>
      <c r="F736" t="s">
        <v>1518</v>
      </c>
      <c r="G736" t="s">
        <v>3674</v>
      </c>
      <c r="H736">
        <v>2</v>
      </c>
      <c r="I736">
        <v>2851.64</v>
      </c>
      <c r="J736">
        <v>5703.28</v>
      </c>
    </row>
    <row r="737" spans="1:10">
      <c r="A737" s="4">
        <v>45196</v>
      </c>
      <c r="B737" t="s">
        <v>3688</v>
      </c>
      <c r="C737" t="s">
        <v>3665</v>
      </c>
      <c r="D737" t="s">
        <v>2549</v>
      </c>
      <c r="E737" t="s">
        <v>1535</v>
      </c>
      <c r="F737" t="s">
        <v>1518</v>
      </c>
      <c r="G737" t="s">
        <v>3674</v>
      </c>
      <c r="H737">
        <v>20</v>
      </c>
      <c r="I737">
        <v>3193.18</v>
      </c>
      <c r="J737">
        <v>63863.6</v>
      </c>
    </row>
    <row r="738" spans="1:10">
      <c r="A738" s="4">
        <v>45007</v>
      </c>
      <c r="B738" t="s">
        <v>3676</v>
      </c>
      <c r="C738" t="s">
        <v>3659</v>
      </c>
      <c r="D738" t="s">
        <v>2551</v>
      </c>
      <c r="E738" t="s">
        <v>1538</v>
      </c>
      <c r="F738" t="s">
        <v>1516</v>
      </c>
      <c r="G738" t="s">
        <v>3686</v>
      </c>
      <c r="H738">
        <v>8</v>
      </c>
      <c r="I738">
        <v>4663.82</v>
      </c>
      <c r="J738">
        <v>37310.559999999998</v>
      </c>
    </row>
    <row r="739" spans="1:10">
      <c r="A739" s="4">
        <v>45261</v>
      </c>
      <c r="B739" t="s">
        <v>3683</v>
      </c>
      <c r="C739" t="s">
        <v>3654</v>
      </c>
      <c r="D739" t="s">
        <v>2549</v>
      </c>
      <c r="E739" t="s">
        <v>1535</v>
      </c>
      <c r="F739" t="s">
        <v>1518</v>
      </c>
      <c r="G739" t="s">
        <v>3700</v>
      </c>
      <c r="H739">
        <v>13</v>
      </c>
      <c r="I739">
        <v>4263.79</v>
      </c>
      <c r="J739">
        <v>55429.27</v>
      </c>
    </row>
    <row r="740" spans="1:10">
      <c r="A740" s="4">
        <v>45093</v>
      </c>
      <c r="B740" t="s">
        <v>3691</v>
      </c>
      <c r="C740" t="s">
        <v>3658</v>
      </c>
      <c r="D740" t="s">
        <v>2550</v>
      </c>
      <c r="E740" t="s">
        <v>1537</v>
      </c>
      <c r="F740" t="s">
        <v>1517</v>
      </c>
      <c r="G740" t="s">
        <v>3701</v>
      </c>
      <c r="H740">
        <v>11</v>
      </c>
      <c r="I740">
        <v>819.85</v>
      </c>
      <c r="J740">
        <v>9018.35</v>
      </c>
    </row>
    <row r="741" spans="1:10">
      <c r="A741" s="4">
        <v>44984</v>
      </c>
      <c r="B741" t="s">
        <v>3689</v>
      </c>
      <c r="C741" t="s">
        <v>3658</v>
      </c>
      <c r="D741" t="s">
        <v>2550</v>
      </c>
      <c r="E741" t="s">
        <v>1537</v>
      </c>
      <c r="F741" t="s">
        <v>1514</v>
      </c>
      <c r="G741" t="s">
        <v>3698</v>
      </c>
      <c r="H741">
        <v>8</v>
      </c>
      <c r="I741">
        <v>2784.08</v>
      </c>
      <c r="J741">
        <v>22272.639999999999</v>
      </c>
    </row>
    <row r="742" spans="1:10">
      <c r="A742" s="4">
        <v>45002</v>
      </c>
      <c r="B742" t="s">
        <v>3688</v>
      </c>
      <c r="C742" t="s">
        <v>3656</v>
      </c>
      <c r="D742" t="s">
        <v>2550</v>
      </c>
      <c r="E742" t="s">
        <v>1537</v>
      </c>
      <c r="F742" t="s">
        <v>1516</v>
      </c>
      <c r="G742" t="s">
        <v>3687</v>
      </c>
      <c r="H742">
        <v>8</v>
      </c>
      <c r="I742">
        <v>2240.2199999999998</v>
      </c>
      <c r="J742">
        <v>17921.759999999998</v>
      </c>
    </row>
    <row r="743" spans="1:10">
      <c r="A743" s="4">
        <v>45266</v>
      </c>
      <c r="B743" t="s">
        <v>3675</v>
      </c>
      <c r="C743" t="s">
        <v>3656</v>
      </c>
      <c r="D743" t="s">
        <v>2550</v>
      </c>
      <c r="E743" t="s">
        <v>1537</v>
      </c>
      <c r="F743" t="s">
        <v>1514</v>
      </c>
      <c r="G743" t="s">
        <v>3682</v>
      </c>
      <c r="H743">
        <v>18</v>
      </c>
      <c r="I743">
        <v>1039.3800000000001</v>
      </c>
      <c r="J743">
        <v>18708.84</v>
      </c>
    </row>
    <row r="744" spans="1:10">
      <c r="A744" s="4">
        <v>45237</v>
      </c>
      <c r="B744" t="s">
        <v>3679</v>
      </c>
      <c r="C744" t="s">
        <v>3666</v>
      </c>
      <c r="D744" t="s">
        <v>2548</v>
      </c>
      <c r="E744" t="s">
        <v>1535</v>
      </c>
      <c r="F744" t="s">
        <v>3657</v>
      </c>
      <c r="G744" t="s">
        <v>3690</v>
      </c>
      <c r="H744">
        <v>18</v>
      </c>
      <c r="I744">
        <v>1297.93</v>
      </c>
      <c r="J744">
        <v>23362.74</v>
      </c>
    </row>
    <row r="745" spans="1:10">
      <c r="A745" s="4">
        <v>44931</v>
      </c>
      <c r="B745" t="s">
        <v>3691</v>
      </c>
      <c r="C745" t="s">
        <v>3654</v>
      </c>
      <c r="D745" t="s">
        <v>2549</v>
      </c>
      <c r="E745" t="s">
        <v>1535</v>
      </c>
      <c r="F745" t="s">
        <v>1517</v>
      </c>
      <c r="G745" t="s">
        <v>3699</v>
      </c>
      <c r="H745">
        <v>4</v>
      </c>
      <c r="I745">
        <v>4293.74</v>
      </c>
      <c r="J745">
        <v>17174.96</v>
      </c>
    </row>
    <row r="746" spans="1:10">
      <c r="A746" s="4">
        <v>45151</v>
      </c>
      <c r="B746" t="s">
        <v>3681</v>
      </c>
      <c r="C746" t="s">
        <v>3659</v>
      </c>
      <c r="D746" t="s">
        <v>2551</v>
      </c>
      <c r="E746" t="s">
        <v>1538</v>
      </c>
      <c r="F746" t="s">
        <v>1514</v>
      </c>
      <c r="G746" t="s">
        <v>3682</v>
      </c>
      <c r="H746">
        <v>11</v>
      </c>
      <c r="I746">
        <v>2133.36</v>
      </c>
      <c r="J746">
        <v>23466.959999999999</v>
      </c>
    </row>
    <row r="747" spans="1:10">
      <c r="A747" s="4">
        <v>45221</v>
      </c>
      <c r="B747" t="s">
        <v>3673</v>
      </c>
      <c r="C747" t="s">
        <v>3667</v>
      </c>
      <c r="D747" t="s">
        <v>2552</v>
      </c>
      <c r="E747" t="s">
        <v>1537</v>
      </c>
      <c r="F747" t="s">
        <v>3657</v>
      </c>
      <c r="G747" t="s">
        <v>3692</v>
      </c>
      <c r="H747">
        <v>11</v>
      </c>
      <c r="I747">
        <v>735.74</v>
      </c>
      <c r="J747">
        <v>8093.14</v>
      </c>
    </row>
    <row r="748" spans="1:10">
      <c r="A748" s="4">
        <v>44993</v>
      </c>
      <c r="B748" t="s">
        <v>3676</v>
      </c>
      <c r="C748" t="s">
        <v>3669</v>
      </c>
      <c r="D748" t="s">
        <v>2551</v>
      </c>
      <c r="E748" t="s">
        <v>1538</v>
      </c>
      <c r="F748" t="s">
        <v>1516</v>
      </c>
      <c r="G748" t="s">
        <v>3677</v>
      </c>
      <c r="H748">
        <v>14</v>
      </c>
      <c r="I748">
        <v>271.27</v>
      </c>
      <c r="J748">
        <v>3797.78</v>
      </c>
    </row>
    <row r="749" spans="1:10">
      <c r="A749" s="4">
        <v>45240</v>
      </c>
      <c r="B749" t="s">
        <v>3676</v>
      </c>
      <c r="C749" t="s">
        <v>3667</v>
      </c>
      <c r="D749" t="s">
        <v>2552</v>
      </c>
      <c r="E749" t="s">
        <v>1537</v>
      </c>
      <c r="F749" t="s">
        <v>1517</v>
      </c>
      <c r="G749" t="s">
        <v>3672</v>
      </c>
      <c r="H749">
        <v>5</v>
      </c>
      <c r="I749">
        <v>4759.1899999999996</v>
      </c>
      <c r="J749">
        <v>23795.95</v>
      </c>
    </row>
    <row r="750" spans="1:10">
      <c r="A750" s="4">
        <v>45270</v>
      </c>
      <c r="B750" t="s">
        <v>3675</v>
      </c>
      <c r="C750" t="s">
        <v>3663</v>
      </c>
      <c r="D750" t="s">
        <v>2548</v>
      </c>
      <c r="E750" t="s">
        <v>1535</v>
      </c>
      <c r="F750" t="s">
        <v>1514</v>
      </c>
      <c r="G750" t="s">
        <v>3685</v>
      </c>
      <c r="H750">
        <v>11</v>
      </c>
      <c r="I750">
        <v>941.97</v>
      </c>
      <c r="J750">
        <v>10361.67</v>
      </c>
    </row>
    <row r="751" spans="1:10">
      <c r="A751" s="4">
        <v>45149</v>
      </c>
      <c r="B751" t="s">
        <v>3675</v>
      </c>
      <c r="C751" t="s">
        <v>3658</v>
      </c>
      <c r="D751" t="s">
        <v>2550</v>
      </c>
      <c r="E751" t="s">
        <v>1537</v>
      </c>
      <c r="F751" t="s">
        <v>3657</v>
      </c>
      <c r="G751" t="s">
        <v>3694</v>
      </c>
      <c r="H751">
        <v>11</v>
      </c>
      <c r="I751">
        <v>2182.46</v>
      </c>
      <c r="J751">
        <v>24007.06</v>
      </c>
    </row>
    <row r="752" spans="1:10">
      <c r="A752" s="4">
        <v>45282</v>
      </c>
      <c r="B752" t="s">
        <v>3675</v>
      </c>
      <c r="C752" t="s">
        <v>3654</v>
      </c>
      <c r="D752" t="s">
        <v>2549</v>
      </c>
      <c r="E752" t="s">
        <v>1535</v>
      </c>
      <c r="F752" t="s">
        <v>3657</v>
      </c>
      <c r="G752" t="s">
        <v>3692</v>
      </c>
      <c r="H752">
        <v>10</v>
      </c>
      <c r="I752">
        <v>2112.91</v>
      </c>
      <c r="J752">
        <v>21129.1</v>
      </c>
    </row>
    <row r="753" spans="1:10">
      <c r="A753" s="4">
        <v>44968</v>
      </c>
      <c r="B753" t="s">
        <v>3679</v>
      </c>
      <c r="C753" t="s">
        <v>3666</v>
      </c>
      <c r="D753" t="s">
        <v>2548</v>
      </c>
      <c r="E753" t="s">
        <v>1535</v>
      </c>
      <c r="F753" t="s">
        <v>1516</v>
      </c>
      <c r="G753" t="s">
        <v>3677</v>
      </c>
      <c r="H753">
        <v>13</v>
      </c>
      <c r="I753">
        <v>3495.08</v>
      </c>
      <c r="J753">
        <v>45436.04</v>
      </c>
    </row>
    <row r="754" spans="1:10">
      <c r="A754" s="4">
        <v>45078</v>
      </c>
      <c r="B754" t="s">
        <v>3673</v>
      </c>
      <c r="C754" t="s">
        <v>3668</v>
      </c>
      <c r="D754" t="s">
        <v>2551</v>
      </c>
      <c r="E754" t="s">
        <v>1538</v>
      </c>
      <c r="F754" t="s">
        <v>3657</v>
      </c>
      <c r="G754" t="s">
        <v>3678</v>
      </c>
      <c r="H754">
        <v>2</v>
      </c>
      <c r="I754">
        <v>3439.47</v>
      </c>
      <c r="J754">
        <v>6878.94</v>
      </c>
    </row>
    <row r="755" spans="1:10">
      <c r="A755" s="4">
        <v>44937</v>
      </c>
      <c r="B755" t="s">
        <v>3676</v>
      </c>
      <c r="C755" t="s">
        <v>3664</v>
      </c>
      <c r="D755" t="s">
        <v>2548</v>
      </c>
      <c r="E755" t="s">
        <v>1535</v>
      </c>
      <c r="F755" t="s">
        <v>1517</v>
      </c>
      <c r="G755" t="s">
        <v>3672</v>
      </c>
      <c r="H755">
        <v>20</v>
      </c>
      <c r="I755">
        <v>3279.25</v>
      </c>
      <c r="J755">
        <v>65585</v>
      </c>
    </row>
    <row r="756" spans="1:10">
      <c r="A756" s="4">
        <v>44958</v>
      </c>
      <c r="B756" t="s">
        <v>3676</v>
      </c>
      <c r="C756" t="s">
        <v>3659</v>
      </c>
      <c r="D756" t="s">
        <v>2551</v>
      </c>
      <c r="E756" t="s">
        <v>1538</v>
      </c>
      <c r="F756" t="s">
        <v>1517</v>
      </c>
      <c r="G756" t="s">
        <v>3693</v>
      </c>
      <c r="H756">
        <v>16</v>
      </c>
      <c r="I756">
        <v>3320.8</v>
      </c>
      <c r="J756">
        <v>53132.800000000003</v>
      </c>
    </row>
    <row r="757" spans="1:10">
      <c r="A757" s="4">
        <v>45291</v>
      </c>
      <c r="B757" t="s">
        <v>3676</v>
      </c>
      <c r="C757" t="s">
        <v>3665</v>
      </c>
      <c r="D757" t="s">
        <v>2549</v>
      </c>
      <c r="E757" t="s">
        <v>1535</v>
      </c>
      <c r="F757" t="s">
        <v>1516</v>
      </c>
      <c r="G757" t="s">
        <v>3695</v>
      </c>
      <c r="H757">
        <v>6</v>
      </c>
      <c r="I757">
        <v>4105.1899999999996</v>
      </c>
      <c r="J757">
        <v>24631.14</v>
      </c>
    </row>
    <row r="758" spans="1:10">
      <c r="A758" s="4">
        <v>45169</v>
      </c>
      <c r="B758" t="s">
        <v>3684</v>
      </c>
      <c r="C758" t="s">
        <v>3668</v>
      </c>
      <c r="D758" t="s">
        <v>2551</v>
      </c>
      <c r="E758" t="s">
        <v>1538</v>
      </c>
      <c r="F758" t="s">
        <v>3657</v>
      </c>
      <c r="G758" t="s">
        <v>3690</v>
      </c>
      <c r="H758">
        <v>7</v>
      </c>
      <c r="I758">
        <v>1830.46</v>
      </c>
      <c r="J758">
        <v>12813.22</v>
      </c>
    </row>
    <row r="759" spans="1:10">
      <c r="A759" s="4">
        <v>44954</v>
      </c>
      <c r="B759" t="s">
        <v>3675</v>
      </c>
      <c r="C759" t="s">
        <v>3668</v>
      </c>
      <c r="D759" t="s">
        <v>2551</v>
      </c>
      <c r="E759" t="s">
        <v>1538</v>
      </c>
      <c r="F759" t="s">
        <v>1518</v>
      </c>
      <c r="G759" t="s">
        <v>3700</v>
      </c>
      <c r="H759">
        <v>19</v>
      </c>
      <c r="I759">
        <v>3901.75</v>
      </c>
      <c r="J759">
        <v>74133.25</v>
      </c>
    </row>
    <row r="760" spans="1:10">
      <c r="A760" s="4">
        <v>45289</v>
      </c>
      <c r="B760" t="s">
        <v>3675</v>
      </c>
      <c r="C760" t="s">
        <v>3661</v>
      </c>
      <c r="D760" t="s">
        <v>2550</v>
      </c>
      <c r="E760" t="s">
        <v>1537</v>
      </c>
      <c r="F760" t="s">
        <v>3657</v>
      </c>
      <c r="G760" t="s">
        <v>3678</v>
      </c>
      <c r="H760">
        <v>10</v>
      </c>
      <c r="I760">
        <v>3031.91</v>
      </c>
      <c r="J760">
        <v>30319.1</v>
      </c>
    </row>
    <row r="761" spans="1:10">
      <c r="A761" s="4">
        <v>45176</v>
      </c>
      <c r="B761" t="s">
        <v>3683</v>
      </c>
      <c r="C761" t="s">
        <v>3660</v>
      </c>
      <c r="D761" t="s">
        <v>2549</v>
      </c>
      <c r="E761" t="s">
        <v>1535</v>
      </c>
      <c r="F761" t="s">
        <v>1518</v>
      </c>
      <c r="G761" t="s">
        <v>3674</v>
      </c>
      <c r="H761">
        <v>18</v>
      </c>
      <c r="I761">
        <v>3575.04</v>
      </c>
      <c r="J761">
        <v>64350.720000000001</v>
      </c>
    </row>
    <row r="762" spans="1:10">
      <c r="A762" s="4">
        <v>45170</v>
      </c>
      <c r="B762" t="s">
        <v>3684</v>
      </c>
      <c r="C762" t="s">
        <v>3667</v>
      </c>
      <c r="D762" t="s">
        <v>2552</v>
      </c>
      <c r="E762" t="s">
        <v>1537</v>
      </c>
      <c r="F762" t="s">
        <v>3657</v>
      </c>
      <c r="G762" t="s">
        <v>3692</v>
      </c>
      <c r="H762">
        <v>17</v>
      </c>
      <c r="I762">
        <v>2920.06</v>
      </c>
      <c r="J762">
        <v>49641.02</v>
      </c>
    </row>
    <row r="763" spans="1:10">
      <c r="A763" s="4">
        <v>45030</v>
      </c>
      <c r="B763" t="s">
        <v>3688</v>
      </c>
      <c r="C763" t="s">
        <v>3654</v>
      </c>
      <c r="D763" t="s">
        <v>2549</v>
      </c>
      <c r="E763" t="s">
        <v>1535</v>
      </c>
      <c r="F763" t="s">
        <v>1514</v>
      </c>
      <c r="G763" t="s">
        <v>3698</v>
      </c>
      <c r="H763">
        <v>15</v>
      </c>
      <c r="I763">
        <v>2796.48</v>
      </c>
      <c r="J763">
        <v>41947.199999999997</v>
      </c>
    </row>
    <row r="764" spans="1:10">
      <c r="A764" s="4">
        <v>45013</v>
      </c>
      <c r="B764" t="s">
        <v>3681</v>
      </c>
      <c r="C764" t="s">
        <v>3656</v>
      </c>
      <c r="D764" t="s">
        <v>2550</v>
      </c>
      <c r="E764" t="s">
        <v>1537</v>
      </c>
      <c r="F764" t="s">
        <v>1514</v>
      </c>
      <c r="G764" t="s">
        <v>3685</v>
      </c>
      <c r="H764">
        <v>1</v>
      </c>
      <c r="I764">
        <v>2918.29</v>
      </c>
      <c r="J764">
        <v>2918.29</v>
      </c>
    </row>
    <row r="765" spans="1:10">
      <c r="A765" s="4">
        <v>45159</v>
      </c>
      <c r="B765" t="s">
        <v>3684</v>
      </c>
      <c r="C765" t="s">
        <v>3663</v>
      </c>
      <c r="D765" t="s">
        <v>2548</v>
      </c>
      <c r="E765" t="s">
        <v>1535</v>
      </c>
      <c r="F765" t="s">
        <v>1517</v>
      </c>
      <c r="G765" t="s">
        <v>3693</v>
      </c>
      <c r="H765">
        <v>10</v>
      </c>
      <c r="I765">
        <v>1097.83</v>
      </c>
      <c r="J765">
        <v>10978.3</v>
      </c>
    </row>
    <row r="766" spans="1:10">
      <c r="A766" s="4">
        <v>44969</v>
      </c>
      <c r="B766" t="s">
        <v>3673</v>
      </c>
      <c r="C766" t="s">
        <v>3654</v>
      </c>
      <c r="D766" t="s">
        <v>2549</v>
      </c>
      <c r="E766" t="s">
        <v>1535</v>
      </c>
      <c r="F766" t="s">
        <v>1516</v>
      </c>
      <c r="G766" t="s">
        <v>3687</v>
      </c>
      <c r="H766">
        <v>10</v>
      </c>
      <c r="I766">
        <v>3391.5</v>
      </c>
      <c r="J766">
        <v>33915</v>
      </c>
    </row>
    <row r="767" spans="1:10">
      <c r="A767" s="4">
        <v>45116</v>
      </c>
      <c r="B767" t="s">
        <v>3689</v>
      </c>
      <c r="C767" t="s">
        <v>3659</v>
      </c>
      <c r="D767" t="s">
        <v>2551</v>
      </c>
      <c r="E767" t="s">
        <v>1538</v>
      </c>
      <c r="F767" t="s">
        <v>3657</v>
      </c>
      <c r="G767" t="s">
        <v>3692</v>
      </c>
      <c r="H767">
        <v>13</v>
      </c>
      <c r="I767">
        <v>2225.88</v>
      </c>
      <c r="J767">
        <v>28936.44</v>
      </c>
    </row>
    <row r="768" spans="1:10">
      <c r="A768" s="4">
        <v>45265</v>
      </c>
      <c r="B768" t="s">
        <v>3683</v>
      </c>
      <c r="C768" t="s">
        <v>3665</v>
      </c>
      <c r="D768" t="s">
        <v>2549</v>
      </c>
      <c r="E768" t="s">
        <v>1535</v>
      </c>
      <c r="F768" t="s">
        <v>1516</v>
      </c>
      <c r="G768" t="s">
        <v>3687</v>
      </c>
      <c r="H768">
        <v>2</v>
      </c>
      <c r="I768">
        <v>1559.76</v>
      </c>
      <c r="J768">
        <v>3119.52</v>
      </c>
    </row>
    <row r="769" spans="1:10">
      <c r="A769" s="4">
        <v>44945</v>
      </c>
      <c r="B769" t="s">
        <v>3676</v>
      </c>
      <c r="C769" t="s">
        <v>3664</v>
      </c>
      <c r="D769" t="s">
        <v>2548</v>
      </c>
      <c r="E769" t="s">
        <v>1535</v>
      </c>
      <c r="F769" t="s">
        <v>3657</v>
      </c>
      <c r="G769" t="s">
        <v>3690</v>
      </c>
      <c r="H769">
        <v>13</v>
      </c>
      <c r="I769">
        <v>4719.96</v>
      </c>
      <c r="J769">
        <v>61359.48</v>
      </c>
    </row>
    <row r="770" spans="1:10">
      <c r="A770" s="4">
        <v>45250</v>
      </c>
      <c r="B770" t="s">
        <v>3691</v>
      </c>
      <c r="C770" t="s">
        <v>3667</v>
      </c>
      <c r="D770" t="s">
        <v>2552</v>
      </c>
      <c r="E770" t="s">
        <v>1537</v>
      </c>
      <c r="F770" t="s">
        <v>1518</v>
      </c>
      <c r="G770" t="s">
        <v>3680</v>
      </c>
      <c r="H770">
        <v>5</v>
      </c>
      <c r="I770">
        <v>1593.02</v>
      </c>
      <c r="J770">
        <v>7965.1</v>
      </c>
    </row>
    <row r="771" spans="1:10">
      <c r="A771" s="4">
        <v>45031</v>
      </c>
      <c r="B771" t="s">
        <v>3681</v>
      </c>
      <c r="C771" t="s">
        <v>3656</v>
      </c>
      <c r="D771" t="s">
        <v>2550</v>
      </c>
      <c r="E771" t="s">
        <v>1537</v>
      </c>
      <c r="F771" t="s">
        <v>1516</v>
      </c>
      <c r="G771" t="s">
        <v>3677</v>
      </c>
      <c r="H771">
        <v>7</v>
      </c>
      <c r="I771">
        <v>1233.6300000000001</v>
      </c>
      <c r="J771">
        <v>8635.41</v>
      </c>
    </row>
    <row r="772" spans="1:10">
      <c r="A772" s="4">
        <v>45060</v>
      </c>
      <c r="B772" t="s">
        <v>3679</v>
      </c>
      <c r="C772" t="s">
        <v>3658</v>
      </c>
      <c r="D772" t="s">
        <v>2550</v>
      </c>
      <c r="E772" t="s">
        <v>1537</v>
      </c>
      <c r="F772" t="s">
        <v>1514</v>
      </c>
      <c r="G772" t="s">
        <v>3697</v>
      </c>
      <c r="H772">
        <v>2</v>
      </c>
      <c r="I772">
        <v>2261.69</v>
      </c>
      <c r="J772">
        <v>4523.38</v>
      </c>
    </row>
    <row r="773" spans="1:10">
      <c r="A773" s="4">
        <v>45057</v>
      </c>
      <c r="B773" t="s">
        <v>3684</v>
      </c>
      <c r="C773" t="s">
        <v>3661</v>
      </c>
      <c r="D773" t="s">
        <v>2550</v>
      </c>
      <c r="E773" t="s">
        <v>1537</v>
      </c>
      <c r="F773" t="s">
        <v>3657</v>
      </c>
      <c r="G773" t="s">
        <v>3692</v>
      </c>
      <c r="H773">
        <v>15</v>
      </c>
      <c r="I773">
        <v>1197.31</v>
      </c>
      <c r="J773">
        <v>17959.650000000001</v>
      </c>
    </row>
    <row r="774" spans="1:10">
      <c r="A774" s="4">
        <v>45025</v>
      </c>
      <c r="B774" t="s">
        <v>3675</v>
      </c>
      <c r="C774" t="s">
        <v>3655</v>
      </c>
      <c r="D774" t="s">
        <v>2552</v>
      </c>
      <c r="E774" t="s">
        <v>1537</v>
      </c>
      <c r="F774" t="s">
        <v>1518</v>
      </c>
      <c r="G774" t="s">
        <v>3680</v>
      </c>
      <c r="H774">
        <v>9</v>
      </c>
      <c r="I774">
        <v>3441.09</v>
      </c>
      <c r="J774">
        <v>30969.81</v>
      </c>
    </row>
    <row r="775" spans="1:10">
      <c r="A775" s="4">
        <v>45100</v>
      </c>
      <c r="B775" t="s">
        <v>3675</v>
      </c>
      <c r="C775" t="s">
        <v>3659</v>
      </c>
      <c r="D775" t="s">
        <v>2551</v>
      </c>
      <c r="E775" t="s">
        <v>1538</v>
      </c>
      <c r="F775" t="s">
        <v>1517</v>
      </c>
      <c r="G775" t="s">
        <v>3699</v>
      </c>
      <c r="H775">
        <v>2</v>
      </c>
      <c r="I775">
        <v>3325.99</v>
      </c>
      <c r="J775">
        <v>6651.98</v>
      </c>
    </row>
    <row r="776" spans="1:10">
      <c r="A776" s="4">
        <v>45165</v>
      </c>
      <c r="B776" t="s">
        <v>3691</v>
      </c>
      <c r="C776" t="s">
        <v>3654</v>
      </c>
      <c r="D776" t="s">
        <v>2549</v>
      </c>
      <c r="E776" t="s">
        <v>1535</v>
      </c>
      <c r="F776" t="s">
        <v>1516</v>
      </c>
      <c r="G776" t="s">
        <v>3677</v>
      </c>
      <c r="H776">
        <v>2</v>
      </c>
      <c r="I776">
        <v>991.8</v>
      </c>
      <c r="J776">
        <v>1983.6</v>
      </c>
    </row>
    <row r="777" spans="1:10">
      <c r="A777" s="4">
        <v>45040</v>
      </c>
      <c r="B777" t="s">
        <v>3689</v>
      </c>
      <c r="C777" t="s">
        <v>3659</v>
      </c>
      <c r="D777" t="s">
        <v>2551</v>
      </c>
      <c r="E777" t="s">
        <v>1538</v>
      </c>
      <c r="F777" t="s">
        <v>3657</v>
      </c>
      <c r="G777" t="s">
        <v>3678</v>
      </c>
      <c r="H777">
        <v>9</v>
      </c>
      <c r="I777">
        <v>4763.01</v>
      </c>
      <c r="J777">
        <v>42867.09</v>
      </c>
    </row>
    <row r="778" spans="1:10">
      <c r="A778" s="4">
        <v>45029</v>
      </c>
      <c r="B778" t="s">
        <v>3688</v>
      </c>
      <c r="C778" t="s">
        <v>3664</v>
      </c>
      <c r="D778" t="s">
        <v>2548</v>
      </c>
      <c r="E778" t="s">
        <v>1535</v>
      </c>
      <c r="F778" t="s">
        <v>1516</v>
      </c>
      <c r="G778" t="s">
        <v>3695</v>
      </c>
      <c r="H778">
        <v>8</v>
      </c>
      <c r="I778">
        <v>826.71</v>
      </c>
      <c r="J778">
        <v>6613.68</v>
      </c>
    </row>
    <row r="779" spans="1:10">
      <c r="A779" s="4">
        <v>45222</v>
      </c>
      <c r="B779" t="s">
        <v>3673</v>
      </c>
      <c r="C779" t="s">
        <v>3667</v>
      </c>
      <c r="D779" t="s">
        <v>2552</v>
      </c>
      <c r="E779" t="s">
        <v>1537</v>
      </c>
      <c r="F779" t="s">
        <v>3657</v>
      </c>
      <c r="G779" t="s">
        <v>3694</v>
      </c>
      <c r="H779">
        <v>9</v>
      </c>
      <c r="I779">
        <v>209.57</v>
      </c>
      <c r="J779">
        <v>1886.13</v>
      </c>
    </row>
    <row r="780" spans="1:10">
      <c r="A780" s="4">
        <v>45092</v>
      </c>
      <c r="B780" t="s">
        <v>3681</v>
      </c>
      <c r="C780" t="s">
        <v>3667</v>
      </c>
      <c r="D780" t="s">
        <v>2552</v>
      </c>
      <c r="E780" t="s">
        <v>1537</v>
      </c>
      <c r="F780" t="s">
        <v>1514</v>
      </c>
      <c r="G780" t="s">
        <v>3682</v>
      </c>
      <c r="H780">
        <v>7</v>
      </c>
      <c r="I780">
        <v>2538.4299999999998</v>
      </c>
      <c r="J780">
        <v>17769.009999999998</v>
      </c>
    </row>
    <row r="781" spans="1:10">
      <c r="A781" s="4">
        <v>45134</v>
      </c>
      <c r="B781" t="s">
        <v>3679</v>
      </c>
      <c r="C781" t="s">
        <v>3666</v>
      </c>
      <c r="D781" t="s">
        <v>2548</v>
      </c>
      <c r="E781" t="s">
        <v>1535</v>
      </c>
      <c r="F781" t="s">
        <v>3657</v>
      </c>
      <c r="G781" t="s">
        <v>3692</v>
      </c>
      <c r="H781">
        <v>7</v>
      </c>
      <c r="I781">
        <v>4116.9799999999996</v>
      </c>
      <c r="J781">
        <v>28818.86</v>
      </c>
    </row>
    <row r="782" spans="1:10">
      <c r="A782" s="4">
        <v>45108</v>
      </c>
      <c r="B782" t="s">
        <v>3675</v>
      </c>
      <c r="C782" t="s">
        <v>3665</v>
      </c>
      <c r="D782" t="s">
        <v>2549</v>
      </c>
      <c r="E782" t="s">
        <v>1535</v>
      </c>
      <c r="F782" t="s">
        <v>1514</v>
      </c>
      <c r="G782" t="s">
        <v>3685</v>
      </c>
      <c r="H782">
        <v>20</v>
      </c>
      <c r="I782">
        <v>3638.01</v>
      </c>
      <c r="J782">
        <v>72760.2</v>
      </c>
    </row>
    <row r="783" spans="1:10">
      <c r="A783" s="4">
        <v>44954</v>
      </c>
      <c r="B783" t="s">
        <v>3691</v>
      </c>
      <c r="C783" t="s">
        <v>3669</v>
      </c>
      <c r="D783" t="s">
        <v>2551</v>
      </c>
      <c r="E783" t="s">
        <v>1538</v>
      </c>
      <c r="F783" t="s">
        <v>1517</v>
      </c>
      <c r="G783" t="s">
        <v>3699</v>
      </c>
      <c r="H783">
        <v>8</v>
      </c>
      <c r="I783">
        <v>4523.4399999999996</v>
      </c>
      <c r="J783">
        <v>36187.519999999997</v>
      </c>
    </row>
    <row r="784" spans="1:10">
      <c r="A784" s="4">
        <v>45198</v>
      </c>
      <c r="B784" t="s">
        <v>3679</v>
      </c>
      <c r="C784" t="s">
        <v>3659</v>
      </c>
      <c r="D784" t="s">
        <v>2551</v>
      </c>
      <c r="E784" t="s">
        <v>1538</v>
      </c>
      <c r="F784" t="s">
        <v>1517</v>
      </c>
      <c r="G784" t="s">
        <v>3693</v>
      </c>
      <c r="H784">
        <v>17</v>
      </c>
      <c r="I784">
        <v>2042</v>
      </c>
      <c r="J784">
        <v>34714</v>
      </c>
    </row>
    <row r="785" spans="1:10">
      <c r="A785" s="4">
        <v>44983</v>
      </c>
      <c r="B785" t="s">
        <v>3691</v>
      </c>
      <c r="C785" t="s">
        <v>3658</v>
      </c>
      <c r="D785" t="s">
        <v>2550</v>
      </c>
      <c r="E785" t="s">
        <v>1537</v>
      </c>
      <c r="F785" t="s">
        <v>1518</v>
      </c>
      <c r="G785" t="s">
        <v>3674</v>
      </c>
      <c r="H785">
        <v>19</v>
      </c>
      <c r="I785">
        <v>2357.62</v>
      </c>
      <c r="J785">
        <v>44794.78</v>
      </c>
    </row>
    <row r="786" spans="1:10">
      <c r="A786" s="4">
        <v>44963</v>
      </c>
      <c r="B786" t="s">
        <v>3676</v>
      </c>
      <c r="C786" t="s">
        <v>3655</v>
      </c>
      <c r="D786" t="s">
        <v>2552</v>
      </c>
      <c r="E786" t="s">
        <v>1537</v>
      </c>
      <c r="F786" t="s">
        <v>1516</v>
      </c>
      <c r="G786" t="s">
        <v>3677</v>
      </c>
      <c r="H786">
        <v>18</v>
      </c>
      <c r="I786">
        <v>941.19</v>
      </c>
      <c r="J786">
        <v>16941.419999999998</v>
      </c>
    </row>
    <row r="787" spans="1:10">
      <c r="A787" s="4">
        <v>45050</v>
      </c>
      <c r="B787" t="s">
        <v>3689</v>
      </c>
      <c r="C787" t="s">
        <v>3661</v>
      </c>
      <c r="D787" t="s">
        <v>2550</v>
      </c>
      <c r="E787" t="s">
        <v>1537</v>
      </c>
      <c r="F787" t="s">
        <v>1516</v>
      </c>
      <c r="G787" t="s">
        <v>3687</v>
      </c>
      <c r="H787">
        <v>9</v>
      </c>
      <c r="I787">
        <v>3927.83</v>
      </c>
      <c r="J787">
        <v>35350.47</v>
      </c>
    </row>
    <row r="788" spans="1:10">
      <c r="A788" s="4">
        <v>45256</v>
      </c>
      <c r="B788" t="s">
        <v>3675</v>
      </c>
      <c r="C788" t="s">
        <v>3667</v>
      </c>
      <c r="D788" t="s">
        <v>2552</v>
      </c>
      <c r="E788" t="s">
        <v>1537</v>
      </c>
      <c r="F788" t="s">
        <v>3657</v>
      </c>
      <c r="G788" t="s">
        <v>3692</v>
      </c>
      <c r="H788">
        <v>1</v>
      </c>
      <c r="I788">
        <v>4555.42</v>
      </c>
      <c r="J788">
        <v>4555.42</v>
      </c>
    </row>
    <row r="789" spans="1:10">
      <c r="A789" s="4">
        <v>45046</v>
      </c>
      <c r="B789" t="s">
        <v>3681</v>
      </c>
      <c r="C789" t="s">
        <v>3660</v>
      </c>
      <c r="D789" t="s">
        <v>2549</v>
      </c>
      <c r="E789" t="s">
        <v>1535</v>
      </c>
      <c r="F789" t="s">
        <v>1516</v>
      </c>
      <c r="G789" t="s">
        <v>3687</v>
      </c>
      <c r="H789">
        <v>18</v>
      </c>
      <c r="I789">
        <v>3271.29</v>
      </c>
      <c r="J789">
        <v>58883.22</v>
      </c>
    </row>
    <row r="790" spans="1:10">
      <c r="A790" s="4">
        <v>45163</v>
      </c>
      <c r="B790" t="s">
        <v>3673</v>
      </c>
      <c r="C790" t="s">
        <v>3664</v>
      </c>
      <c r="D790" t="s">
        <v>2548</v>
      </c>
      <c r="E790" t="s">
        <v>1535</v>
      </c>
      <c r="F790" t="s">
        <v>1514</v>
      </c>
      <c r="G790" t="s">
        <v>3697</v>
      </c>
      <c r="H790">
        <v>15</v>
      </c>
      <c r="I790">
        <v>4406.3100000000004</v>
      </c>
      <c r="J790">
        <v>66094.649999999994</v>
      </c>
    </row>
    <row r="791" spans="1:10">
      <c r="A791" s="4">
        <v>45263</v>
      </c>
      <c r="B791" t="s">
        <v>3688</v>
      </c>
      <c r="C791" t="s">
        <v>3666</v>
      </c>
      <c r="D791" t="s">
        <v>2548</v>
      </c>
      <c r="E791" t="s">
        <v>1535</v>
      </c>
      <c r="F791" t="s">
        <v>1518</v>
      </c>
      <c r="G791" t="s">
        <v>3700</v>
      </c>
      <c r="H791">
        <v>19</v>
      </c>
      <c r="I791">
        <v>2016.56</v>
      </c>
      <c r="J791">
        <v>38314.639999999999</v>
      </c>
    </row>
    <row r="792" spans="1:10">
      <c r="A792" s="4">
        <v>45188</v>
      </c>
      <c r="B792" t="s">
        <v>3688</v>
      </c>
      <c r="C792" t="s">
        <v>3664</v>
      </c>
      <c r="D792" t="s">
        <v>2548</v>
      </c>
      <c r="E792" t="s">
        <v>1535</v>
      </c>
      <c r="F792" t="s">
        <v>1517</v>
      </c>
      <c r="G792" t="s">
        <v>3701</v>
      </c>
      <c r="H792">
        <v>13</v>
      </c>
      <c r="I792">
        <v>3531.03</v>
      </c>
      <c r="J792">
        <v>45903.39</v>
      </c>
    </row>
    <row r="793" spans="1:10">
      <c r="A793" s="4">
        <v>45245</v>
      </c>
      <c r="B793" t="s">
        <v>3683</v>
      </c>
      <c r="C793" t="s">
        <v>3661</v>
      </c>
      <c r="D793" t="s">
        <v>2550</v>
      </c>
      <c r="E793" t="s">
        <v>1537</v>
      </c>
      <c r="F793" t="s">
        <v>1517</v>
      </c>
      <c r="G793" t="s">
        <v>3672</v>
      </c>
      <c r="H793">
        <v>7</v>
      </c>
      <c r="I793">
        <v>4077.95</v>
      </c>
      <c r="J793">
        <v>28545.65</v>
      </c>
    </row>
    <row r="794" spans="1:10">
      <c r="A794" s="4">
        <v>45032</v>
      </c>
      <c r="B794" t="s">
        <v>3681</v>
      </c>
      <c r="C794" t="s">
        <v>3655</v>
      </c>
      <c r="D794" t="s">
        <v>2552</v>
      </c>
      <c r="E794" t="s">
        <v>1537</v>
      </c>
      <c r="F794" t="s">
        <v>3657</v>
      </c>
      <c r="G794" t="s">
        <v>3694</v>
      </c>
      <c r="H794">
        <v>1</v>
      </c>
      <c r="I794">
        <v>1628.88</v>
      </c>
      <c r="J794">
        <v>1628.88</v>
      </c>
    </row>
    <row r="795" spans="1:10">
      <c r="A795" s="4">
        <v>44976</v>
      </c>
      <c r="B795" t="s">
        <v>3675</v>
      </c>
      <c r="C795" t="s">
        <v>3667</v>
      </c>
      <c r="D795" t="s">
        <v>2552</v>
      </c>
      <c r="E795" t="s">
        <v>1537</v>
      </c>
      <c r="F795" t="s">
        <v>1516</v>
      </c>
      <c r="G795" t="s">
        <v>3677</v>
      </c>
      <c r="H795">
        <v>15</v>
      </c>
      <c r="I795">
        <v>2093.0300000000002</v>
      </c>
      <c r="J795">
        <v>31395.45</v>
      </c>
    </row>
    <row r="796" spans="1:10">
      <c r="A796" s="4">
        <v>45110</v>
      </c>
      <c r="B796" t="s">
        <v>3689</v>
      </c>
      <c r="C796" t="s">
        <v>3668</v>
      </c>
      <c r="D796" t="s">
        <v>2551</v>
      </c>
      <c r="E796" t="s">
        <v>1538</v>
      </c>
      <c r="F796" t="s">
        <v>1516</v>
      </c>
      <c r="G796" t="s">
        <v>3687</v>
      </c>
      <c r="H796">
        <v>14</v>
      </c>
      <c r="I796">
        <v>2441.0700000000002</v>
      </c>
      <c r="J796">
        <v>34174.980000000003</v>
      </c>
    </row>
    <row r="797" spans="1:10">
      <c r="A797" s="4">
        <v>45089</v>
      </c>
      <c r="B797" t="s">
        <v>3691</v>
      </c>
      <c r="C797" t="s">
        <v>3665</v>
      </c>
      <c r="D797" t="s">
        <v>2549</v>
      </c>
      <c r="E797" t="s">
        <v>1535</v>
      </c>
      <c r="F797" t="s">
        <v>1517</v>
      </c>
      <c r="G797" t="s">
        <v>3699</v>
      </c>
      <c r="H797">
        <v>18</v>
      </c>
      <c r="I797">
        <v>134.66999999999999</v>
      </c>
      <c r="J797">
        <v>2424.06</v>
      </c>
    </row>
    <row r="798" spans="1:10">
      <c r="A798" s="4">
        <v>45148</v>
      </c>
      <c r="B798" t="s">
        <v>3675</v>
      </c>
      <c r="C798" t="s">
        <v>3655</v>
      </c>
      <c r="D798" t="s">
        <v>2552</v>
      </c>
      <c r="E798" t="s">
        <v>1537</v>
      </c>
      <c r="F798" t="s">
        <v>1514</v>
      </c>
      <c r="G798" t="s">
        <v>3682</v>
      </c>
      <c r="H798">
        <v>8</v>
      </c>
      <c r="I798">
        <v>2518.13</v>
      </c>
      <c r="J798">
        <v>20145.04</v>
      </c>
    </row>
    <row r="799" spans="1:10">
      <c r="A799" s="4">
        <v>45143</v>
      </c>
      <c r="B799" t="s">
        <v>3676</v>
      </c>
      <c r="C799" t="s">
        <v>3668</v>
      </c>
      <c r="D799" t="s">
        <v>2551</v>
      </c>
      <c r="E799" t="s">
        <v>1538</v>
      </c>
      <c r="F799" t="s">
        <v>1518</v>
      </c>
      <c r="G799" t="s">
        <v>3696</v>
      </c>
      <c r="H799">
        <v>1</v>
      </c>
      <c r="I799">
        <v>2366.64</v>
      </c>
      <c r="J799">
        <v>2366.64</v>
      </c>
    </row>
    <row r="800" spans="1:10">
      <c r="A800" s="4">
        <v>45264</v>
      </c>
      <c r="B800" t="s">
        <v>3675</v>
      </c>
      <c r="C800" t="s">
        <v>3654</v>
      </c>
      <c r="D800" t="s">
        <v>2549</v>
      </c>
      <c r="E800" t="s">
        <v>1535</v>
      </c>
      <c r="F800" t="s">
        <v>1518</v>
      </c>
      <c r="G800" t="s">
        <v>3674</v>
      </c>
      <c r="H800">
        <v>14</v>
      </c>
      <c r="I800">
        <v>3167.49</v>
      </c>
      <c r="J800">
        <v>44344.86</v>
      </c>
    </row>
    <row r="801" spans="1:10">
      <c r="A801" s="4">
        <v>45058</v>
      </c>
      <c r="B801" t="s">
        <v>3681</v>
      </c>
      <c r="C801" t="s">
        <v>3654</v>
      </c>
      <c r="D801" t="s">
        <v>2549</v>
      </c>
      <c r="E801" t="s">
        <v>1535</v>
      </c>
      <c r="F801" t="s">
        <v>1514</v>
      </c>
      <c r="G801" t="s">
        <v>3685</v>
      </c>
      <c r="H801">
        <v>9</v>
      </c>
      <c r="I801">
        <v>109.56</v>
      </c>
      <c r="J801">
        <v>986.04</v>
      </c>
    </row>
    <row r="802" spans="1:10">
      <c r="A802" s="4">
        <v>45079</v>
      </c>
      <c r="B802" t="s">
        <v>3683</v>
      </c>
      <c r="C802" t="s">
        <v>3668</v>
      </c>
      <c r="D802" t="s">
        <v>2551</v>
      </c>
      <c r="E802" t="s">
        <v>1538</v>
      </c>
      <c r="F802" t="s">
        <v>1514</v>
      </c>
      <c r="G802" t="s">
        <v>3698</v>
      </c>
      <c r="H802">
        <v>20</v>
      </c>
      <c r="I802">
        <v>652.87</v>
      </c>
      <c r="J802">
        <v>13057.4</v>
      </c>
    </row>
    <row r="803" spans="1:10">
      <c r="A803" s="4">
        <v>45000</v>
      </c>
      <c r="B803" t="s">
        <v>3681</v>
      </c>
      <c r="C803" t="s">
        <v>3667</v>
      </c>
      <c r="D803" t="s">
        <v>2552</v>
      </c>
      <c r="E803" t="s">
        <v>1537</v>
      </c>
      <c r="F803" t="s">
        <v>1516</v>
      </c>
      <c r="G803" t="s">
        <v>3687</v>
      </c>
      <c r="H803">
        <v>4</v>
      </c>
      <c r="I803">
        <v>2563.65</v>
      </c>
      <c r="J803">
        <v>10254.6</v>
      </c>
    </row>
    <row r="804" spans="1:10">
      <c r="A804" s="4">
        <v>44944</v>
      </c>
      <c r="B804" t="s">
        <v>3679</v>
      </c>
      <c r="C804" t="s">
        <v>3656</v>
      </c>
      <c r="D804" t="s">
        <v>2550</v>
      </c>
      <c r="E804" t="s">
        <v>1537</v>
      </c>
      <c r="F804" t="s">
        <v>3657</v>
      </c>
      <c r="G804" t="s">
        <v>3690</v>
      </c>
      <c r="H804">
        <v>2</v>
      </c>
      <c r="I804">
        <v>771.23</v>
      </c>
      <c r="J804">
        <v>1542.46</v>
      </c>
    </row>
    <row r="805" spans="1:10">
      <c r="A805" s="4">
        <v>45137</v>
      </c>
      <c r="B805" t="s">
        <v>3684</v>
      </c>
      <c r="C805" t="s">
        <v>3658</v>
      </c>
      <c r="D805" t="s">
        <v>2550</v>
      </c>
      <c r="E805" t="s">
        <v>1537</v>
      </c>
      <c r="F805" t="s">
        <v>1516</v>
      </c>
      <c r="G805" t="s">
        <v>3687</v>
      </c>
      <c r="H805">
        <v>19</v>
      </c>
      <c r="I805">
        <v>2290.6799999999998</v>
      </c>
      <c r="J805">
        <v>43522.92</v>
      </c>
    </row>
    <row r="806" spans="1:10">
      <c r="A806" s="4">
        <v>44950</v>
      </c>
      <c r="B806" t="s">
        <v>3681</v>
      </c>
      <c r="C806" t="s">
        <v>3662</v>
      </c>
      <c r="D806" t="s">
        <v>2552</v>
      </c>
      <c r="E806" t="s">
        <v>1537</v>
      </c>
      <c r="F806" t="s">
        <v>1518</v>
      </c>
      <c r="G806" t="s">
        <v>3680</v>
      </c>
      <c r="H806">
        <v>9</v>
      </c>
      <c r="I806">
        <v>4965.3</v>
      </c>
      <c r="J806">
        <v>44687.7</v>
      </c>
    </row>
    <row r="807" spans="1:10">
      <c r="A807" s="4">
        <v>45195</v>
      </c>
      <c r="B807" t="s">
        <v>3679</v>
      </c>
      <c r="C807" t="s">
        <v>3660</v>
      </c>
      <c r="D807" t="s">
        <v>2549</v>
      </c>
      <c r="E807" t="s">
        <v>1535</v>
      </c>
      <c r="F807" t="s">
        <v>1514</v>
      </c>
      <c r="G807" t="s">
        <v>3685</v>
      </c>
      <c r="H807">
        <v>4</v>
      </c>
      <c r="I807">
        <v>3684.5</v>
      </c>
      <c r="J807">
        <v>14738</v>
      </c>
    </row>
    <row r="808" spans="1:10">
      <c r="A808" s="4">
        <v>45118</v>
      </c>
      <c r="B808" t="s">
        <v>3676</v>
      </c>
      <c r="C808" t="s">
        <v>3663</v>
      </c>
      <c r="D808" t="s">
        <v>2548</v>
      </c>
      <c r="E808" t="s">
        <v>1535</v>
      </c>
      <c r="F808" t="s">
        <v>3657</v>
      </c>
      <c r="G808" t="s">
        <v>3694</v>
      </c>
      <c r="H808">
        <v>14</v>
      </c>
      <c r="I808">
        <v>4566.12</v>
      </c>
      <c r="J808">
        <v>63925.68</v>
      </c>
    </row>
    <row r="809" spans="1:10">
      <c r="A809" s="4">
        <v>45254</v>
      </c>
      <c r="B809" t="s">
        <v>3683</v>
      </c>
      <c r="C809" t="s">
        <v>3656</v>
      </c>
      <c r="D809" t="s">
        <v>2550</v>
      </c>
      <c r="E809" t="s">
        <v>1537</v>
      </c>
      <c r="F809" t="s">
        <v>1517</v>
      </c>
      <c r="G809" t="s">
        <v>3701</v>
      </c>
      <c r="H809">
        <v>17</v>
      </c>
      <c r="I809">
        <v>2246.8200000000002</v>
      </c>
      <c r="J809">
        <v>38195.94</v>
      </c>
    </row>
    <row r="810" spans="1:10">
      <c r="A810" s="4">
        <v>45089</v>
      </c>
      <c r="B810" t="s">
        <v>3676</v>
      </c>
      <c r="C810" t="s">
        <v>3659</v>
      </c>
      <c r="D810" t="s">
        <v>2551</v>
      </c>
      <c r="E810" t="s">
        <v>1538</v>
      </c>
      <c r="F810" t="s">
        <v>1518</v>
      </c>
      <c r="G810" t="s">
        <v>3674</v>
      </c>
      <c r="H810">
        <v>3</v>
      </c>
      <c r="I810">
        <v>215.21</v>
      </c>
      <c r="J810">
        <v>645.63</v>
      </c>
    </row>
    <row r="811" spans="1:10">
      <c r="A811" s="4">
        <v>45289</v>
      </c>
      <c r="B811" t="s">
        <v>3691</v>
      </c>
      <c r="C811" t="s">
        <v>3667</v>
      </c>
      <c r="D811" t="s">
        <v>2552</v>
      </c>
      <c r="E811" t="s">
        <v>1537</v>
      </c>
      <c r="F811" t="s">
        <v>1514</v>
      </c>
      <c r="G811" t="s">
        <v>3682</v>
      </c>
      <c r="H811">
        <v>7</v>
      </c>
      <c r="I811">
        <v>1294.31</v>
      </c>
      <c r="J811">
        <v>9060.17</v>
      </c>
    </row>
    <row r="812" spans="1:10">
      <c r="A812" s="4">
        <v>45158</v>
      </c>
      <c r="B812" t="s">
        <v>3681</v>
      </c>
      <c r="C812" t="s">
        <v>3664</v>
      </c>
      <c r="D812" t="s">
        <v>2548</v>
      </c>
      <c r="E812" t="s">
        <v>1535</v>
      </c>
      <c r="F812" t="s">
        <v>3657</v>
      </c>
      <c r="G812" t="s">
        <v>3694</v>
      </c>
      <c r="H812">
        <v>9</v>
      </c>
      <c r="I812">
        <v>1558.74</v>
      </c>
      <c r="J812">
        <v>14028.66</v>
      </c>
    </row>
    <row r="813" spans="1:10">
      <c r="A813" s="4">
        <v>45009</v>
      </c>
      <c r="B813" t="s">
        <v>3688</v>
      </c>
      <c r="C813" t="s">
        <v>3661</v>
      </c>
      <c r="D813" t="s">
        <v>2550</v>
      </c>
      <c r="E813" t="s">
        <v>1537</v>
      </c>
      <c r="F813" t="s">
        <v>1518</v>
      </c>
      <c r="G813" t="s">
        <v>3700</v>
      </c>
      <c r="H813">
        <v>11</v>
      </c>
      <c r="I813">
        <v>4382.91</v>
      </c>
      <c r="J813">
        <v>48212.01</v>
      </c>
    </row>
    <row r="814" spans="1:10">
      <c r="A814" s="4">
        <v>45138</v>
      </c>
      <c r="B814" t="s">
        <v>3681</v>
      </c>
      <c r="C814" t="s">
        <v>3659</v>
      </c>
      <c r="D814" t="s">
        <v>2551</v>
      </c>
      <c r="E814" t="s">
        <v>1538</v>
      </c>
      <c r="F814" t="s">
        <v>1514</v>
      </c>
      <c r="G814" t="s">
        <v>3697</v>
      </c>
      <c r="H814">
        <v>6</v>
      </c>
      <c r="I814">
        <v>4197.59</v>
      </c>
      <c r="J814">
        <v>25185.54</v>
      </c>
    </row>
    <row r="815" spans="1:10">
      <c r="A815" s="4">
        <v>44961</v>
      </c>
      <c r="B815" t="s">
        <v>3673</v>
      </c>
      <c r="C815" t="s">
        <v>3656</v>
      </c>
      <c r="D815" t="s">
        <v>2550</v>
      </c>
      <c r="E815" t="s">
        <v>1537</v>
      </c>
      <c r="F815" t="s">
        <v>1518</v>
      </c>
      <c r="G815" t="s">
        <v>3700</v>
      </c>
      <c r="H815">
        <v>2</v>
      </c>
      <c r="I815">
        <v>4137.49</v>
      </c>
      <c r="J815">
        <v>8274.98</v>
      </c>
    </row>
    <row r="816" spans="1:10">
      <c r="A816" s="4">
        <v>45242</v>
      </c>
      <c r="B816" t="s">
        <v>3684</v>
      </c>
      <c r="C816" t="s">
        <v>3668</v>
      </c>
      <c r="D816" t="s">
        <v>2551</v>
      </c>
      <c r="E816" t="s">
        <v>1538</v>
      </c>
      <c r="F816" t="s">
        <v>1514</v>
      </c>
      <c r="G816" t="s">
        <v>3697</v>
      </c>
      <c r="H816">
        <v>16</v>
      </c>
      <c r="I816">
        <v>1598.06</v>
      </c>
      <c r="J816">
        <v>25568.959999999999</v>
      </c>
    </row>
    <row r="817" spans="1:10">
      <c r="A817" s="4">
        <v>45250</v>
      </c>
      <c r="B817" t="s">
        <v>3675</v>
      </c>
      <c r="C817" t="s">
        <v>3659</v>
      </c>
      <c r="D817" t="s">
        <v>2551</v>
      </c>
      <c r="E817" t="s">
        <v>1538</v>
      </c>
      <c r="F817" t="s">
        <v>1517</v>
      </c>
      <c r="G817" t="s">
        <v>3701</v>
      </c>
      <c r="H817">
        <v>3</v>
      </c>
      <c r="I817">
        <v>3044.02</v>
      </c>
      <c r="J817">
        <v>9132.06</v>
      </c>
    </row>
    <row r="818" spans="1:10">
      <c r="A818" s="4">
        <v>44935</v>
      </c>
      <c r="B818" t="s">
        <v>3673</v>
      </c>
      <c r="C818" t="s">
        <v>3665</v>
      </c>
      <c r="D818" t="s">
        <v>2549</v>
      </c>
      <c r="E818" t="s">
        <v>1535</v>
      </c>
      <c r="F818" t="s">
        <v>1516</v>
      </c>
      <c r="G818" t="s">
        <v>3695</v>
      </c>
      <c r="H818">
        <v>6</v>
      </c>
      <c r="I818">
        <v>4270.03</v>
      </c>
      <c r="J818">
        <v>25620.18</v>
      </c>
    </row>
    <row r="819" spans="1:10">
      <c r="A819" s="4">
        <v>45179</v>
      </c>
      <c r="B819" t="s">
        <v>3675</v>
      </c>
      <c r="C819" t="s">
        <v>3665</v>
      </c>
      <c r="D819" t="s">
        <v>2549</v>
      </c>
      <c r="E819" t="s">
        <v>1535</v>
      </c>
      <c r="F819" t="s">
        <v>1517</v>
      </c>
      <c r="G819" t="s">
        <v>3701</v>
      </c>
      <c r="H819">
        <v>13</v>
      </c>
      <c r="I819">
        <v>298.08999999999997</v>
      </c>
      <c r="J819">
        <v>3875.17</v>
      </c>
    </row>
    <row r="820" spans="1:10">
      <c r="A820" s="4">
        <v>45090</v>
      </c>
      <c r="B820" t="s">
        <v>3684</v>
      </c>
      <c r="C820" t="s">
        <v>3664</v>
      </c>
      <c r="D820" t="s">
        <v>2548</v>
      </c>
      <c r="E820" t="s">
        <v>1535</v>
      </c>
      <c r="F820" t="s">
        <v>1514</v>
      </c>
      <c r="G820" t="s">
        <v>3685</v>
      </c>
      <c r="H820">
        <v>3</v>
      </c>
      <c r="I820">
        <v>1453.68</v>
      </c>
      <c r="J820">
        <v>4361.04</v>
      </c>
    </row>
    <row r="821" spans="1:10">
      <c r="A821" s="4">
        <v>45129</v>
      </c>
      <c r="B821" t="s">
        <v>3689</v>
      </c>
      <c r="C821" t="s">
        <v>3668</v>
      </c>
      <c r="D821" t="s">
        <v>2551</v>
      </c>
      <c r="E821" t="s">
        <v>1538</v>
      </c>
      <c r="F821" t="s">
        <v>1518</v>
      </c>
      <c r="G821" t="s">
        <v>3696</v>
      </c>
      <c r="H821">
        <v>4</v>
      </c>
      <c r="I821">
        <v>1009.78</v>
      </c>
      <c r="J821">
        <v>4039.12</v>
      </c>
    </row>
    <row r="822" spans="1:10">
      <c r="A822" s="4">
        <v>45203</v>
      </c>
      <c r="B822" t="s">
        <v>3673</v>
      </c>
      <c r="C822" t="s">
        <v>3658</v>
      </c>
      <c r="D822" t="s">
        <v>2550</v>
      </c>
      <c r="E822" t="s">
        <v>1537</v>
      </c>
      <c r="F822" t="s">
        <v>1514</v>
      </c>
      <c r="G822" t="s">
        <v>3682</v>
      </c>
      <c r="H822">
        <v>12</v>
      </c>
      <c r="I822">
        <v>231.07</v>
      </c>
      <c r="J822">
        <v>2772.84</v>
      </c>
    </row>
    <row r="823" spans="1:10">
      <c r="A823" s="4">
        <v>44963</v>
      </c>
      <c r="B823" t="s">
        <v>3673</v>
      </c>
      <c r="C823" t="s">
        <v>3660</v>
      </c>
      <c r="D823" t="s">
        <v>2549</v>
      </c>
      <c r="E823" t="s">
        <v>1535</v>
      </c>
      <c r="F823" t="s">
        <v>1514</v>
      </c>
      <c r="G823" t="s">
        <v>3685</v>
      </c>
      <c r="H823">
        <v>12</v>
      </c>
      <c r="I823">
        <v>1410.03</v>
      </c>
      <c r="J823">
        <v>16920.36</v>
      </c>
    </row>
    <row r="824" spans="1:10">
      <c r="A824" s="4">
        <v>44966</v>
      </c>
      <c r="B824" t="s">
        <v>3684</v>
      </c>
      <c r="C824" t="s">
        <v>3665</v>
      </c>
      <c r="D824" t="s">
        <v>2549</v>
      </c>
      <c r="E824" t="s">
        <v>1535</v>
      </c>
      <c r="F824" t="s">
        <v>1518</v>
      </c>
      <c r="G824" t="s">
        <v>3680</v>
      </c>
      <c r="H824">
        <v>6</v>
      </c>
      <c r="I824">
        <v>1610.91</v>
      </c>
      <c r="J824">
        <v>9665.4599999999991</v>
      </c>
    </row>
    <row r="825" spans="1:10">
      <c r="A825" s="4">
        <v>44964</v>
      </c>
      <c r="B825" t="s">
        <v>3688</v>
      </c>
      <c r="C825" t="s">
        <v>3662</v>
      </c>
      <c r="D825" t="s">
        <v>2552</v>
      </c>
      <c r="E825" t="s">
        <v>1537</v>
      </c>
      <c r="F825" t="s">
        <v>1518</v>
      </c>
      <c r="G825" t="s">
        <v>3680</v>
      </c>
      <c r="H825">
        <v>7</v>
      </c>
      <c r="I825">
        <v>3396.62</v>
      </c>
      <c r="J825">
        <v>23776.34</v>
      </c>
    </row>
    <row r="826" spans="1:10">
      <c r="A826" s="4">
        <v>45115</v>
      </c>
      <c r="B826" t="s">
        <v>3691</v>
      </c>
      <c r="C826" t="s">
        <v>3662</v>
      </c>
      <c r="D826" t="s">
        <v>2552</v>
      </c>
      <c r="E826" t="s">
        <v>1537</v>
      </c>
      <c r="F826" t="s">
        <v>1518</v>
      </c>
      <c r="G826" t="s">
        <v>3696</v>
      </c>
      <c r="H826">
        <v>14</v>
      </c>
      <c r="I826">
        <v>4164.33</v>
      </c>
      <c r="J826">
        <v>58300.62</v>
      </c>
    </row>
    <row r="827" spans="1:10">
      <c r="A827" s="4">
        <v>44939</v>
      </c>
      <c r="B827" t="s">
        <v>3691</v>
      </c>
      <c r="C827" t="s">
        <v>3660</v>
      </c>
      <c r="D827" t="s">
        <v>2549</v>
      </c>
      <c r="E827" t="s">
        <v>1535</v>
      </c>
      <c r="F827" t="s">
        <v>1517</v>
      </c>
      <c r="G827" t="s">
        <v>3693</v>
      </c>
      <c r="H827">
        <v>12</v>
      </c>
      <c r="I827">
        <v>4414.2700000000004</v>
      </c>
      <c r="J827">
        <v>52971.24</v>
      </c>
    </row>
    <row r="828" spans="1:10">
      <c r="A828" s="4">
        <v>45125</v>
      </c>
      <c r="B828" t="s">
        <v>3688</v>
      </c>
      <c r="C828" t="s">
        <v>3656</v>
      </c>
      <c r="D828" t="s">
        <v>2550</v>
      </c>
      <c r="E828" t="s">
        <v>1537</v>
      </c>
      <c r="F828" t="s">
        <v>1516</v>
      </c>
      <c r="G828" t="s">
        <v>3695</v>
      </c>
      <c r="H828">
        <v>13</v>
      </c>
      <c r="I828">
        <v>3101.42</v>
      </c>
      <c r="J828">
        <v>40318.46</v>
      </c>
    </row>
    <row r="829" spans="1:10">
      <c r="A829" s="4">
        <v>45158</v>
      </c>
      <c r="B829" t="s">
        <v>3689</v>
      </c>
      <c r="C829" t="s">
        <v>3658</v>
      </c>
      <c r="D829" t="s">
        <v>2550</v>
      </c>
      <c r="E829" t="s">
        <v>1537</v>
      </c>
      <c r="F829" t="s">
        <v>1518</v>
      </c>
      <c r="G829" t="s">
        <v>3700</v>
      </c>
      <c r="H829">
        <v>18</v>
      </c>
      <c r="I829">
        <v>3002.55</v>
      </c>
      <c r="J829">
        <v>54045.9</v>
      </c>
    </row>
    <row r="830" spans="1:10">
      <c r="A830" s="4">
        <v>44962</v>
      </c>
      <c r="B830" t="s">
        <v>3673</v>
      </c>
      <c r="C830" t="s">
        <v>3669</v>
      </c>
      <c r="D830" t="s">
        <v>2551</v>
      </c>
      <c r="E830" t="s">
        <v>1538</v>
      </c>
      <c r="F830" t="s">
        <v>1517</v>
      </c>
      <c r="G830" t="s">
        <v>3672</v>
      </c>
      <c r="H830">
        <v>13</v>
      </c>
      <c r="I830">
        <v>2098.65</v>
      </c>
      <c r="J830">
        <v>27282.45</v>
      </c>
    </row>
    <row r="831" spans="1:10">
      <c r="A831" s="4">
        <v>45205</v>
      </c>
      <c r="B831" t="s">
        <v>3688</v>
      </c>
      <c r="C831" t="s">
        <v>3666</v>
      </c>
      <c r="D831" t="s">
        <v>2548</v>
      </c>
      <c r="E831" t="s">
        <v>1535</v>
      </c>
      <c r="F831" t="s">
        <v>1514</v>
      </c>
      <c r="G831" t="s">
        <v>3697</v>
      </c>
      <c r="H831">
        <v>5</v>
      </c>
      <c r="I831">
        <v>4106.79</v>
      </c>
      <c r="J831">
        <v>20533.95</v>
      </c>
    </row>
    <row r="832" spans="1:10">
      <c r="A832" s="4">
        <v>45077</v>
      </c>
      <c r="B832" t="s">
        <v>3679</v>
      </c>
      <c r="C832" t="s">
        <v>3668</v>
      </c>
      <c r="D832" t="s">
        <v>2551</v>
      </c>
      <c r="E832" t="s">
        <v>1538</v>
      </c>
      <c r="F832" t="s">
        <v>1516</v>
      </c>
      <c r="G832" t="s">
        <v>3677</v>
      </c>
      <c r="H832">
        <v>1</v>
      </c>
      <c r="I832">
        <v>3041.26</v>
      </c>
      <c r="J832">
        <v>3041.26</v>
      </c>
    </row>
    <row r="833" spans="1:10">
      <c r="A833" s="4">
        <v>45248</v>
      </c>
      <c r="B833" t="s">
        <v>3679</v>
      </c>
      <c r="C833" t="s">
        <v>3654</v>
      </c>
      <c r="D833" t="s">
        <v>2549</v>
      </c>
      <c r="E833" t="s">
        <v>1535</v>
      </c>
      <c r="F833" t="s">
        <v>1518</v>
      </c>
      <c r="G833" t="s">
        <v>3680</v>
      </c>
      <c r="H833">
        <v>7</v>
      </c>
      <c r="I833">
        <v>4514.21</v>
      </c>
      <c r="J833">
        <v>31599.47</v>
      </c>
    </row>
    <row r="834" spans="1:10">
      <c r="A834" s="4">
        <v>45006</v>
      </c>
      <c r="B834" t="s">
        <v>3691</v>
      </c>
      <c r="C834" t="s">
        <v>3656</v>
      </c>
      <c r="D834" t="s">
        <v>2550</v>
      </c>
      <c r="E834" t="s">
        <v>1537</v>
      </c>
      <c r="F834" t="s">
        <v>1516</v>
      </c>
      <c r="G834" t="s">
        <v>3677</v>
      </c>
      <c r="H834">
        <v>18</v>
      </c>
      <c r="I834">
        <v>2971.68</v>
      </c>
      <c r="J834">
        <v>53490.239999999998</v>
      </c>
    </row>
    <row r="835" spans="1:10">
      <c r="A835" s="4">
        <v>45161</v>
      </c>
      <c r="B835" t="s">
        <v>3684</v>
      </c>
      <c r="C835" t="s">
        <v>3655</v>
      </c>
      <c r="D835" t="s">
        <v>2552</v>
      </c>
      <c r="E835" t="s">
        <v>1537</v>
      </c>
      <c r="F835" t="s">
        <v>3657</v>
      </c>
      <c r="G835" t="s">
        <v>3678</v>
      </c>
      <c r="H835">
        <v>6</v>
      </c>
      <c r="I835">
        <v>2263.36</v>
      </c>
      <c r="J835">
        <v>13580.16</v>
      </c>
    </row>
    <row r="836" spans="1:10">
      <c r="A836" s="4">
        <v>45059</v>
      </c>
      <c r="B836" t="s">
        <v>3673</v>
      </c>
      <c r="C836" t="s">
        <v>3661</v>
      </c>
      <c r="D836" t="s">
        <v>2550</v>
      </c>
      <c r="E836" t="s">
        <v>1537</v>
      </c>
      <c r="F836" t="s">
        <v>1517</v>
      </c>
      <c r="G836" t="s">
        <v>3699</v>
      </c>
      <c r="H836">
        <v>8</v>
      </c>
      <c r="I836">
        <v>3859.28</v>
      </c>
      <c r="J836">
        <v>30874.240000000002</v>
      </c>
    </row>
    <row r="837" spans="1:10">
      <c r="A837" s="4">
        <v>45061</v>
      </c>
      <c r="B837" t="s">
        <v>3688</v>
      </c>
      <c r="C837" t="s">
        <v>3660</v>
      </c>
      <c r="D837" t="s">
        <v>2549</v>
      </c>
      <c r="E837" t="s">
        <v>1535</v>
      </c>
      <c r="F837" t="s">
        <v>1517</v>
      </c>
      <c r="G837" t="s">
        <v>3701</v>
      </c>
      <c r="H837">
        <v>14</v>
      </c>
      <c r="I837">
        <v>3044.71</v>
      </c>
      <c r="J837">
        <v>42625.94</v>
      </c>
    </row>
    <row r="838" spans="1:10">
      <c r="A838" s="4">
        <v>45105</v>
      </c>
      <c r="B838" t="s">
        <v>3679</v>
      </c>
      <c r="C838" t="s">
        <v>3662</v>
      </c>
      <c r="D838" t="s">
        <v>2552</v>
      </c>
      <c r="E838" t="s">
        <v>1537</v>
      </c>
      <c r="F838" t="s">
        <v>1518</v>
      </c>
      <c r="G838" t="s">
        <v>3696</v>
      </c>
      <c r="H838">
        <v>11</v>
      </c>
      <c r="I838">
        <v>4653.38</v>
      </c>
      <c r="J838">
        <v>51187.18</v>
      </c>
    </row>
    <row r="839" spans="1:10">
      <c r="A839" s="4">
        <v>44964</v>
      </c>
      <c r="B839" t="s">
        <v>3684</v>
      </c>
      <c r="C839" t="s">
        <v>3655</v>
      </c>
      <c r="D839" t="s">
        <v>2552</v>
      </c>
      <c r="E839" t="s">
        <v>1537</v>
      </c>
      <c r="F839" t="s">
        <v>1517</v>
      </c>
      <c r="G839" t="s">
        <v>3701</v>
      </c>
      <c r="H839">
        <v>9</v>
      </c>
      <c r="I839">
        <v>3425.59</v>
      </c>
      <c r="J839">
        <v>30830.31</v>
      </c>
    </row>
    <row r="840" spans="1:10">
      <c r="A840" s="4">
        <v>45134</v>
      </c>
      <c r="B840" t="s">
        <v>3673</v>
      </c>
      <c r="C840" t="s">
        <v>3654</v>
      </c>
      <c r="D840" t="s">
        <v>2549</v>
      </c>
      <c r="E840" t="s">
        <v>1535</v>
      </c>
      <c r="F840" t="s">
        <v>1516</v>
      </c>
      <c r="G840" t="s">
        <v>3677</v>
      </c>
      <c r="H840">
        <v>15</v>
      </c>
      <c r="I840">
        <v>4671.6899999999996</v>
      </c>
      <c r="J840">
        <v>70075.350000000006</v>
      </c>
    </row>
    <row r="841" spans="1:10">
      <c r="A841" s="4">
        <v>45186</v>
      </c>
      <c r="B841" t="s">
        <v>3675</v>
      </c>
      <c r="C841" t="s">
        <v>3665</v>
      </c>
      <c r="D841" t="s">
        <v>2549</v>
      </c>
      <c r="E841" t="s">
        <v>1535</v>
      </c>
      <c r="F841" t="s">
        <v>1518</v>
      </c>
      <c r="G841" t="s">
        <v>3700</v>
      </c>
      <c r="H841">
        <v>5</v>
      </c>
      <c r="I841">
        <v>4600.38</v>
      </c>
      <c r="J841">
        <v>23001.9</v>
      </c>
    </row>
    <row r="842" spans="1:10">
      <c r="A842" s="4">
        <v>45088</v>
      </c>
      <c r="B842" t="s">
        <v>3689</v>
      </c>
      <c r="C842" t="s">
        <v>3656</v>
      </c>
      <c r="D842" t="s">
        <v>2550</v>
      </c>
      <c r="E842" t="s">
        <v>1537</v>
      </c>
      <c r="F842" t="s">
        <v>3657</v>
      </c>
      <c r="G842" t="s">
        <v>3694</v>
      </c>
      <c r="H842">
        <v>19</v>
      </c>
      <c r="I842">
        <v>2183.09</v>
      </c>
      <c r="J842">
        <v>41478.71</v>
      </c>
    </row>
    <row r="843" spans="1:10">
      <c r="A843" s="4">
        <v>45280</v>
      </c>
      <c r="B843" t="s">
        <v>3684</v>
      </c>
      <c r="C843" t="s">
        <v>3658</v>
      </c>
      <c r="D843" t="s">
        <v>2550</v>
      </c>
      <c r="E843" t="s">
        <v>1537</v>
      </c>
      <c r="F843" t="s">
        <v>1514</v>
      </c>
      <c r="G843" t="s">
        <v>3685</v>
      </c>
      <c r="H843">
        <v>8</v>
      </c>
      <c r="I843">
        <v>1850.8</v>
      </c>
      <c r="J843">
        <v>14806.4</v>
      </c>
    </row>
    <row r="844" spans="1:10">
      <c r="A844" s="4">
        <v>45272</v>
      </c>
      <c r="B844" t="s">
        <v>3675</v>
      </c>
      <c r="C844" t="s">
        <v>3668</v>
      </c>
      <c r="D844" t="s">
        <v>2551</v>
      </c>
      <c r="E844" t="s">
        <v>1538</v>
      </c>
      <c r="F844" t="s">
        <v>1514</v>
      </c>
      <c r="G844" t="s">
        <v>3697</v>
      </c>
      <c r="H844">
        <v>12</v>
      </c>
      <c r="I844">
        <v>3695.68</v>
      </c>
      <c r="J844">
        <v>44348.160000000003</v>
      </c>
    </row>
    <row r="845" spans="1:10">
      <c r="A845" s="4">
        <v>45119</v>
      </c>
      <c r="B845" t="s">
        <v>3673</v>
      </c>
      <c r="C845" t="s">
        <v>3663</v>
      </c>
      <c r="D845" t="s">
        <v>2548</v>
      </c>
      <c r="E845" t="s">
        <v>1535</v>
      </c>
      <c r="F845" t="s">
        <v>1517</v>
      </c>
      <c r="G845" t="s">
        <v>3701</v>
      </c>
      <c r="H845">
        <v>14</v>
      </c>
      <c r="I845">
        <v>3099.57</v>
      </c>
      <c r="J845">
        <v>43393.98</v>
      </c>
    </row>
    <row r="846" spans="1:10">
      <c r="A846" s="4">
        <v>45222</v>
      </c>
      <c r="B846" t="s">
        <v>3683</v>
      </c>
      <c r="C846" t="s">
        <v>3660</v>
      </c>
      <c r="D846" t="s">
        <v>2549</v>
      </c>
      <c r="E846" t="s">
        <v>1535</v>
      </c>
      <c r="F846" t="s">
        <v>1516</v>
      </c>
      <c r="G846" t="s">
        <v>3686</v>
      </c>
      <c r="H846">
        <v>1</v>
      </c>
      <c r="I846">
        <v>3758.07</v>
      </c>
      <c r="J846">
        <v>3758.07</v>
      </c>
    </row>
    <row r="847" spans="1:10">
      <c r="A847" s="4">
        <v>45163</v>
      </c>
      <c r="B847" t="s">
        <v>3681</v>
      </c>
      <c r="C847" t="s">
        <v>3669</v>
      </c>
      <c r="D847" t="s">
        <v>2551</v>
      </c>
      <c r="E847" t="s">
        <v>1538</v>
      </c>
      <c r="F847" t="s">
        <v>1517</v>
      </c>
      <c r="G847" t="s">
        <v>3693</v>
      </c>
      <c r="H847">
        <v>5</v>
      </c>
      <c r="I847">
        <v>2536.65</v>
      </c>
      <c r="J847">
        <v>12683.25</v>
      </c>
    </row>
    <row r="848" spans="1:10">
      <c r="A848" s="4">
        <v>45160</v>
      </c>
      <c r="B848" t="s">
        <v>3683</v>
      </c>
      <c r="C848" t="s">
        <v>3654</v>
      </c>
      <c r="D848" t="s">
        <v>2549</v>
      </c>
      <c r="E848" t="s">
        <v>1535</v>
      </c>
      <c r="F848" t="s">
        <v>3657</v>
      </c>
      <c r="G848" t="s">
        <v>3692</v>
      </c>
      <c r="H848">
        <v>9</v>
      </c>
      <c r="I848">
        <v>564.08000000000004</v>
      </c>
      <c r="J848">
        <v>5076.72</v>
      </c>
    </row>
    <row r="849" spans="1:10">
      <c r="A849" s="4">
        <v>45257</v>
      </c>
      <c r="B849" t="s">
        <v>3673</v>
      </c>
      <c r="C849" t="s">
        <v>3667</v>
      </c>
      <c r="D849" t="s">
        <v>2552</v>
      </c>
      <c r="E849" t="s">
        <v>1537</v>
      </c>
      <c r="F849" t="s">
        <v>3657</v>
      </c>
      <c r="G849" t="s">
        <v>3690</v>
      </c>
      <c r="H849">
        <v>4</v>
      </c>
      <c r="I849">
        <v>3762.47</v>
      </c>
      <c r="J849">
        <v>15049.88</v>
      </c>
    </row>
    <row r="850" spans="1:10">
      <c r="A850" s="4">
        <v>45229</v>
      </c>
      <c r="B850" t="s">
        <v>3676</v>
      </c>
      <c r="C850" t="s">
        <v>3664</v>
      </c>
      <c r="D850" t="s">
        <v>2548</v>
      </c>
      <c r="E850" t="s">
        <v>1535</v>
      </c>
      <c r="F850" t="s">
        <v>3657</v>
      </c>
      <c r="G850" t="s">
        <v>3694</v>
      </c>
      <c r="H850">
        <v>5</v>
      </c>
      <c r="I850">
        <v>4180.57</v>
      </c>
      <c r="J850">
        <v>20902.849999999999</v>
      </c>
    </row>
    <row r="851" spans="1:10">
      <c r="A851" s="4">
        <v>44945</v>
      </c>
      <c r="B851" t="s">
        <v>3684</v>
      </c>
      <c r="C851" t="s">
        <v>3662</v>
      </c>
      <c r="D851" t="s">
        <v>2552</v>
      </c>
      <c r="E851" t="s">
        <v>1537</v>
      </c>
      <c r="F851" t="s">
        <v>1517</v>
      </c>
      <c r="G851" t="s">
        <v>3693</v>
      </c>
      <c r="H851">
        <v>5</v>
      </c>
      <c r="I851">
        <v>1947.01</v>
      </c>
      <c r="J851">
        <v>9735.0499999999993</v>
      </c>
    </row>
    <row r="852" spans="1:10">
      <c r="A852" s="4">
        <v>45129</v>
      </c>
      <c r="B852" t="s">
        <v>3673</v>
      </c>
      <c r="C852" t="s">
        <v>3660</v>
      </c>
      <c r="D852" t="s">
        <v>2549</v>
      </c>
      <c r="E852" t="s">
        <v>1535</v>
      </c>
      <c r="F852" t="s">
        <v>1516</v>
      </c>
      <c r="G852" t="s">
        <v>3687</v>
      </c>
      <c r="H852">
        <v>13</v>
      </c>
      <c r="I852">
        <v>4686.21</v>
      </c>
      <c r="J852">
        <v>60920.73</v>
      </c>
    </row>
    <row r="853" spans="1:10">
      <c r="A853" s="4">
        <v>44944</v>
      </c>
      <c r="B853" t="s">
        <v>3676</v>
      </c>
      <c r="C853" t="s">
        <v>3660</v>
      </c>
      <c r="D853" t="s">
        <v>2549</v>
      </c>
      <c r="E853" t="s">
        <v>1535</v>
      </c>
      <c r="F853" t="s">
        <v>1517</v>
      </c>
      <c r="G853" t="s">
        <v>3672</v>
      </c>
      <c r="H853">
        <v>7</v>
      </c>
      <c r="I853">
        <v>4418.17</v>
      </c>
      <c r="J853">
        <v>30927.19</v>
      </c>
    </row>
    <row r="854" spans="1:10">
      <c r="A854" s="4">
        <v>45208</v>
      </c>
      <c r="B854" t="s">
        <v>3684</v>
      </c>
      <c r="C854" t="s">
        <v>3665</v>
      </c>
      <c r="D854" t="s">
        <v>2549</v>
      </c>
      <c r="E854" t="s">
        <v>1535</v>
      </c>
      <c r="F854" t="s">
        <v>1516</v>
      </c>
      <c r="G854" t="s">
        <v>3695</v>
      </c>
      <c r="H854">
        <v>19</v>
      </c>
      <c r="I854">
        <v>4186.6400000000003</v>
      </c>
      <c r="J854">
        <v>79546.16</v>
      </c>
    </row>
    <row r="855" spans="1:10">
      <c r="A855" s="4">
        <v>45113</v>
      </c>
      <c r="B855" t="s">
        <v>3675</v>
      </c>
      <c r="C855" t="s">
        <v>3666</v>
      </c>
      <c r="D855" t="s">
        <v>2548</v>
      </c>
      <c r="E855" t="s">
        <v>1535</v>
      </c>
      <c r="F855" t="s">
        <v>1517</v>
      </c>
      <c r="G855" t="s">
        <v>3672</v>
      </c>
      <c r="H855">
        <v>6</v>
      </c>
      <c r="I855">
        <v>1003.96</v>
      </c>
      <c r="J855">
        <v>6023.76</v>
      </c>
    </row>
    <row r="856" spans="1:10">
      <c r="A856" s="4">
        <v>45127</v>
      </c>
      <c r="B856" t="s">
        <v>3688</v>
      </c>
      <c r="C856" t="s">
        <v>3658</v>
      </c>
      <c r="D856" t="s">
        <v>2550</v>
      </c>
      <c r="E856" t="s">
        <v>1537</v>
      </c>
      <c r="F856" t="s">
        <v>1514</v>
      </c>
      <c r="G856" t="s">
        <v>3685</v>
      </c>
      <c r="H856">
        <v>13</v>
      </c>
      <c r="I856">
        <v>1028.74</v>
      </c>
      <c r="J856">
        <v>13373.62</v>
      </c>
    </row>
    <row r="857" spans="1:10">
      <c r="A857" s="4">
        <v>45168</v>
      </c>
      <c r="B857" t="s">
        <v>3681</v>
      </c>
      <c r="C857" t="s">
        <v>3661</v>
      </c>
      <c r="D857" t="s">
        <v>2550</v>
      </c>
      <c r="E857" t="s">
        <v>1537</v>
      </c>
      <c r="F857" t="s">
        <v>1516</v>
      </c>
      <c r="G857" t="s">
        <v>3695</v>
      </c>
      <c r="H857">
        <v>20</v>
      </c>
      <c r="I857">
        <v>4751.1400000000003</v>
      </c>
      <c r="J857">
        <v>95022.8</v>
      </c>
    </row>
    <row r="858" spans="1:10">
      <c r="A858" s="4">
        <v>45091</v>
      </c>
      <c r="B858" t="s">
        <v>3673</v>
      </c>
      <c r="C858" t="s">
        <v>3655</v>
      </c>
      <c r="D858" t="s">
        <v>2552</v>
      </c>
      <c r="E858" t="s">
        <v>1537</v>
      </c>
      <c r="F858" t="s">
        <v>1516</v>
      </c>
      <c r="G858" t="s">
        <v>3687</v>
      </c>
      <c r="H858">
        <v>8</v>
      </c>
      <c r="I858">
        <v>565.82000000000005</v>
      </c>
      <c r="J858">
        <v>4526.5600000000004</v>
      </c>
    </row>
    <row r="859" spans="1:10">
      <c r="A859" s="4">
        <v>45164</v>
      </c>
      <c r="B859" t="s">
        <v>3676</v>
      </c>
      <c r="C859" t="s">
        <v>3665</v>
      </c>
      <c r="D859" t="s">
        <v>2549</v>
      </c>
      <c r="E859" t="s">
        <v>1535</v>
      </c>
      <c r="F859" t="s">
        <v>1514</v>
      </c>
      <c r="G859" t="s">
        <v>3697</v>
      </c>
      <c r="H859">
        <v>1</v>
      </c>
      <c r="I859">
        <v>1903.53</v>
      </c>
      <c r="J859">
        <v>1903.53</v>
      </c>
    </row>
    <row r="860" spans="1:10">
      <c r="A860" s="4">
        <v>45238</v>
      </c>
      <c r="B860" t="s">
        <v>3681</v>
      </c>
      <c r="C860" t="s">
        <v>3664</v>
      </c>
      <c r="D860" t="s">
        <v>2548</v>
      </c>
      <c r="E860" t="s">
        <v>1535</v>
      </c>
      <c r="F860" t="s">
        <v>1518</v>
      </c>
      <c r="G860" t="s">
        <v>3674</v>
      </c>
      <c r="H860">
        <v>20</v>
      </c>
      <c r="I860">
        <v>3286.69</v>
      </c>
      <c r="J860">
        <v>65733.8</v>
      </c>
    </row>
    <row r="861" spans="1:10">
      <c r="A861" s="4">
        <v>45059</v>
      </c>
      <c r="B861" t="s">
        <v>3673</v>
      </c>
      <c r="C861" t="s">
        <v>3659</v>
      </c>
      <c r="D861" t="s">
        <v>2551</v>
      </c>
      <c r="E861" t="s">
        <v>1538</v>
      </c>
      <c r="F861" t="s">
        <v>1518</v>
      </c>
      <c r="G861" t="s">
        <v>3696</v>
      </c>
      <c r="H861">
        <v>20</v>
      </c>
      <c r="I861">
        <v>1176.4000000000001</v>
      </c>
      <c r="J861">
        <v>23528</v>
      </c>
    </row>
    <row r="862" spans="1:10">
      <c r="A862" s="4">
        <v>45279</v>
      </c>
      <c r="B862" t="s">
        <v>3673</v>
      </c>
      <c r="C862" t="s">
        <v>3666</v>
      </c>
      <c r="D862" t="s">
        <v>2548</v>
      </c>
      <c r="E862" t="s">
        <v>1535</v>
      </c>
      <c r="F862" t="s">
        <v>1518</v>
      </c>
      <c r="G862" t="s">
        <v>3674</v>
      </c>
      <c r="H862">
        <v>11</v>
      </c>
      <c r="I862">
        <v>2038.9</v>
      </c>
      <c r="J862">
        <v>22427.9</v>
      </c>
    </row>
    <row r="863" spans="1:10">
      <c r="A863" s="4">
        <v>44986</v>
      </c>
      <c r="B863" t="s">
        <v>3676</v>
      </c>
      <c r="C863" t="s">
        <v>3661</v>
      </c>
      <c r="D863" t="s">
        <v>2550</v>
      </c>
      <c r="E863" t="s">
        <v>1537</v>
      </c>
      <c r="F863" t="s">
        <v>1518</v>
      </c>
      <c r="G863" t="s">
        <v>3700</v>
      </c>
      <c r="H863">
        <v>19</v>
      </c>
      <c r="I863">
        <v>3990.16</v>
      </c>
      <c r="J863">
        <v>75813.039999999994</v>
      </c>
    </row>
    <row r="864" spans="1:10">
      <c r="A864" s="4">
        <v>44947</v>
      </c>
      <c r="B864" t="s">
        <v>3691</v>
      </c>
      <c r="C864" t="s">
        <v>3669</v>
      </c>
      <c r="D864" t="s">
        <v>2551</v>
      </c>
      <c r="E864" t="s">
        <v>1538</v>
      </c>
      <c r="F864" t="s">
        <v>1516</v>
      </c>
      <c r="G864" t="s">
        <v>3686</v>
      </c>
      <c r="H864">
        <v>15</v>
      </c>
      <c r="I864">
        <v>3765.36</v>
      </c>
      <c r="J864">
        <v>56480.4</v>
      </c>
    </row>
    <row r="865" spans="1:10">
      <c r="A865" s="4">
        <v>45252</v>
      </c>
      <c r="B865" t="s">
        <v>3679</v>
      </c>
      <c r="C865" t="s">
        <v>3656</v>
      </c>
      <c r="D865" t="s">
        <v>2550</v>
      </c>
      <c r="E865" t="s">
        <v>1537</v>
      </c>
      <c r="F865" t="s">
        <v>1516</v>
      </c>
      <c r="G865" t="s">
        <v>3687</v>
      </c>
      <c r="H865">
        <v>12</v>
      </c>
      <c r="I865">
        <v>1794.88</v>
      </c>
      <c r="J865">
        <v>21538.560000000001</v>
      </c>
    </row>
    <row r="866" spans="1:10">
      <c r="A866" s="4">
        <v>45094</v>
      </c>
      <c r="B866" t="s">
        <v>3683</v>
      </c>
      <c r="C866" t="s">
        <v>3667</v>
      </c>
      <c r="D866" t="s">
        <v>2552</v>
      </c>
      <c r="E866" t="s">
        <v>1537</v>
      </c>
      <c r="F866" t="s">
        <v>1514</v>
      </c>
      <c r="G866" t="s">
        <v>3697</v>
      </c>
      <c r="H866">
        <v>19</v>
      </c>
      <c r="I866">
        <v>2750.97</v>
      </c>
      <c r="J866">
        <v>52268.43</v>
      </c>
    </row>
    <row r="867" spans="1:10">
      <c r="A867" s="4">
        <v>45161</v>
      </c>
      <c r="B867" t="s">
        <v>3691</v>
      </c>
      <c r="C867" t="s">
        <v>3660</v>
      </c>
      <c r="D867" t="s">
        <v>2549</v>
      </c>
      <c r="E867" t="s">
        <v>1535</v>
      </c>
      <c r="F867" t="s">
        <v>1518</v>
      </c>
      <c r="G867" t="s">
        <v>3674</v>
      </c>
      <c r="H867">
        <v>17</v>
      </c>
      <c r="I867">
        <v>3677.4</v>
      </c>
      <c r="J867">
        <v>62515.8</v>
      </c>
    </row>
    <row r="868" spans="1:10">
      <c r="A868" s="4">
        <v>45012</v>
      </c>
      <c r="B868" t="s">
        <v>3691</v>
      </c>
      <c r="C868" t="s">
        <v>3665</v>
      </c>
      <c r="D868" t="s">
        <v>2549</v>
      </c>
      <c r="E868" t="s">
        <v>1535</v>
      </c>
      <c r="F868" t="s">
        <v>1518</v>
      </c>
      <c r="G868" t="s">
        <v>3674</v>
      </c>
      <c r="H868">
        <v>7</v>
      </c>
      <c r="I868">
        <v>2253.94</v>
      </c>
      <c r="J868">
        <v>15777.58</v>
      </c>
    </row>
    <row r="869" spans="1:10">
      <c r="A869" s="4">
        <v>45064</v>
      </c>
      <c r="B869" t="s">
        <v>3676</v>
      </c>
      <c r="C869" t="s">
        <v>3667</v>
      </c>
      <c r="D869" t="s">
        <v>2552</v>
      </c>
      <c r="E869" t="s">
        <v>1537</v>
      </c>
      <c r="F869" t="s">
        <v>3657</v>
      </c>
      <c r="G869" t="s">
        <v>3692</v>
      </c>
      <c r="H869">
        <v>8</v>
      </c>
      <c r="I869">
        <v>1762.43</v>
      </c>
      <c r="J869">
        <v>14099.44</v>
      </c>
    </row>
    <row r="870" spans="1:10">
      <c r="A870" s="4">
        <v>45044</v>
      </c>
      <c r="B870" t="s">
        <v>3676</v>
      </c>
      <c r="C870" t="s">
        <v>3661</v>
      </c>
      <c r="D870" t="s">
        <v>2550</v>
      </c>
      <c r="E870" t="s">
        <v>1537</v>
      </c>
      <c r="F870" t="s">
        <v>1517</v>
      </c>
      <c r="G870" t="s">
        <v>3693</v>
      </c>
      <c r="H870">
        <v>20</v>
      </c>
      <c r="I870">
        <v>278.55</v>
      </c>
      <c r="J870">
        <v>5571</v>
      </c>
    </row>
    <row r="871" spans="1:10">
      <c r="A871" s="4">
        <v>45190</v>
      </c>
      <c r="B871" t="s">
        <v>3673</v>
      </c>
      <c r="C871" t="s">
        <v>3660</v>
      </c>
      <c r="D871" t="s">
        <v>2549</v>
      </c>
      <c r="E871" t="s">
        <v>1535</v>
      </c>
      <c r="F871" t="s">
        <v>1517</v>
      </c>
      <c r="G871" t="s">
        <v>3693</v>
      </c>
      <c r="H871">
        <v>7</v>
      </c>
      <c r="I871">
        <v>1940.86</v>
      </c>
      <c r="J871">
        <v>13586.02</v>
      </c>
    </row>
    <row r="872" spans="1:10">
      <c r="A872" s="4">
        <v>45201</v>
      </c>
      <c r="B872" t="s">
        <v>3673</v>
      </c>
      <c r="C872" t="s">
        <v>3661</v>
      </c>
      <c r="D872" t="s">
        <v>2550</v>
      </c>
      <c r="E872" t="s">
        <v>1537</v>
      </c>
      <c r="F872" t="s">
        <v>3657</v>
      </c>
      <c r="G872" t="s">
        <v>3690</v>
      </c>
      <c r="H872">
        <v>1</v>
      </c>
      <c r="I872">
        <v>414.64</v>
      </c>
      <c r="J872">
        <v>414.64</v>
      </c>
    </row>
    <row r="873" spans="1:10">
      <c r="A873" s="4">
        <v>45203</v>
      </c>
      <c r="B873" t="s">
        <v>3676</v>
      </c>
      <c r="C873" t="s">
        <v>3662</v>
      </c>
      <c r="D873" t="s">
        <v>2552</v>
      </c>
      <c r="E873" t="s">
        <v>1537</v>
      </c>
      <c r="F873" t="s">
        <v>1518</v>
      </c>
      <c r="G873" t="s">
        <v>3680</v>
      </c>
      <c r="H873">
        <v>7</v>
      </c>
      <c r="I873">
        <v>1073.54</v>
      </c>
      <c r="J873">
        <v>7514.78</v>
      </c>
    </row>
    <row r="874" spans="1:10">
      <c r="A874" s="4">
        <v>45146</v>
      </c>
      <c r="B874" t="s">
        <v>3683</v>
      </c>
      <c r="C874" t="s">
        <v>3661</v>
      </c>
      <c r="D874" t="s">
        <v>2550</v>
      </c>
      <c r="E874" t="s">
        <v>1537</v>
      </c>
      <c r="F874" t="s">
        <v>1514</v>
      </c>
      <c r="G874" t="s">
        <v>3698</v>
      </c>
      <c r="H874">
        <v>2</v>
      </c>
      <c r="I874">
        <v>2078.33</v>
      </c>
      <c r="J874">
        <v>4156.66</v>
      </c>
    </row>
    <row r="875" spans="1:10">
      <c r="A875" s="4">
        <v>44939</v>
      </c>
      <c r="B875" t="s">
        <v>3679</v>
      </c>
      <c r="C875" t="s">
        <v>3659</v>
      </c>
      <c r="D875" t="s">
        <v>2551</v>
      </c>
      <c r="E875" t="s">
        <v>1538</v>
      </c>
      <c r="F875" t="s">
        <v>1517</v>
      </c>
      <c r="G875" t="s">
        <v>3699</v>
      </c>
      <c r="H875">
        <v>15</v>
      </c>
      <c r="I875">
        <v>4188.84</v>
      </c>
      <c r="J875">
        <v>62832.6</v>
      </c>
    </row>
    <row r="876" spans="1:10">
      <c r="A876" s="4">
        <v>45086</v>
      </c>
      <c r="B876" t="s">
        <v>3688</v>
      </c>
      <c r="C876" t="s">
        <v>3661</v>
      </c>
      <c r="D876" t="s">
        <v>2550</v>
      </c>
      <c r="E876" t="s">
        <v>1537</v>
      </c>
      <c r="F876" t="s">
        <v>1516</v>
      </c>
      <c r="G876" t="s">
        <v>3695</v>
      </c>
      <c r="H876">
        <v>16</v>
      </c>
      <c r="I876">
        <v>3046.66</v>
      </c>
      <c r="J876">
        <v>48746.559999999998</v>
      </c>
    </row>
    <row r="877" spans="1:10">
      <c r="A877" s="4">
        <v>45144</v>
      </c>
      <c r="B877" t="s">
        <v>3683</v>
      </c>
      <c r="C877" t="s">
        <v>3661</v>
      </c>
      <c r="D877" t="s">
        <v>2550</v>
      </c>
      <c r="E877" t="s">
        <v>1537</v>
      </c>
      <c r="F877" t="s">
        <v>1516</v>
      </c>
      <c r="G877" t="s">
        <v>3695</v>
      </c>
      <c r="H877">
        <v>13</v>
      </c>
      <c r="I877">
        <v>566.55999999999995</v>
      </c>
      <c r="J877">
        <v>7365.28</v>
      </c>
    </row>
    <row r="878" spans="1:10">
      <c r="A878" s="4">
        <v>45148</v>
      </c>
      <c r="B878" t="s">
        <v>3683</v>
      </c>
      <c r="C878" t="s">
        <v>3668</v>
      </c>
      <c r="D878" t="s">
        <v>2551</v>
      </c>
      <c r="E878" t="s">
        <v>1538</v>
      </c>
      <c r="F878" t="s">
        <v>1514</v>
      </c>
      <c r="G878" t="s">
        <v>3698</v>
      </c>
      <c r="H878">
        <v>9</v>
      </c>
      <c r="I878">
        <v>4726.68</v>
      </c>
      <c r="J878">
        <v>42540.12</v>
      </c>
    </row>
    <row r="879" spans="1:10">
      <c r="A879" s="4">
        <v>45029</v>
      </c>
      <c r="B879" t="s">
        <v>3691</v>
      </c>
      <c r="C879" t="s">
        <v>3662</v>
      </c>
      <c r="D879" t="s">
        <v>2552</v>
      </c>
      <c r="E879" t="s">
        <v>1537</v>
      </c>
      <c r="F879" t="s">
        <v>1516</v>
      </c>
      <c r="G879" t="s">
        <v>3695</v>
      </c>
      <c r="H879">
        <v>15</v>
      </c>
      <c r="I879">
        <v>2503.4699999999998</v>
      </c>
      <c r="J879">
        <v>37552.050000000003</v>
      </c>
    </row>
    <row r="880" spans="1:10">
      <c r="A880" s="4">
        <v>45118</v>
      </c>
      <c r="B880" t="s">
        <v>3676</v>
      </c>
      <c r="C880" t="s">
        <v>3662</v>
      </c>
      <c r="D880" t="s">
        <v>2552</v>
      </c>
      <c r="E880" t="s">
        <v>1537</v>
      </c>
      <c r="F880" t="s">
        <v>3657</v>
      </c>
      <c r="G880" t="s">
        <v>3690</v>
      </c>
      <c r="H880">
        <v>13</v>
      </c>
      <c r="I880">
        <v>2244.77</v>
      </c>
      <c r="J880">
        <v>29182.01</v>
      </c>
    </row>
    <row r="881" spans="1:10">
      <c r="A881" s="4">
        <v>45271</v>
      </c>
      <c r="B881" t="s">
        <v>3684</v>
      </c>
      <c r="C881" t="s">
        <v>3665</v>
      </c>
      <c r="D881" t="s">
        <v>2549</v>
      </c>
      <c r="E881" t="s">
        <v>1535</v>
      </c>
      <c r="F881" t="s">
        <v>1518</v>
      </c>
      <c r="G881" t="s">
        <v>3674</v>
      </c>
      <c r="H881">
        <v>18</v>
      </c>
      <c r="I881">
        <v>3559.2</v>
      </c>
      <c r="J881">
        <v>64065.599999999999</v>
      </c>
    </row>
    <row r="882" spans="1:10">
      <c r="A882" s="4">
        <v>45280</v>
      </c>
      <c r="B882" t="s">
        <v>3679</v>
      </c>
      <c r="C882" t="s">
        <v>3655</v>
      </c>
      <c r="D882" t="s">
        <v>2552</v>
      </c>
      <c r="E882" t="s">
        <v>1537</v>
      </c>
      <c r="F882" t="s">
        <v>1516</v>
      </c>
      <c r="G882" t="s">
        <v>3695</v>
      </c>
      <c r="H882">
        <v>16</v>
      </c>
      <c r="I882">
        <v>4238.6400000000003</v>
      </c>
      <c r="J882">
        <v>67818.240000000005</v>
      </c>
    </row>
    <row r="883" spans="1:10">
      <c r="A883" s="4">
        <v>45244</v>
      </c>
      <c r="B883" t="s">
        <v>3681</v>
      </c>
      <c r="C883" t="s">
        <v>3654</v>
      </c>
      <c r="D883" t="s">
        <v>2549</v>
      </c>
      <c r="E883" t="s">
        <v>1535</v>
      </c>
      <c r="F883" t="s">
        <v>1516</v>
      </c>
      <c r="G883" t="s">
        <v>3695</v>
      </c>
      <c r="H883">
        <v>13</v>
      </c>
      <c r="I883">
        <v>151.65</v>
      </c>
      <c r="J883">
        <v>1971.45</v>
      </c>
    </row>
    <row r="884" spans="1:10">
      <c r="A884" s="4">
        <v>45086</v>
      </c>
      <c r="B884" t="s">
        <v>3673</v>
      </c>
      <c r="C884" t="s">
        <v>3654</v>
      </c>
      <c r="D884" t="s">
        <v>2549</v>
      </c>
      <c r="E884" t="s">
        <v>1535</v>
      </c>
      <c r="F884" t="s">
        <v>1517</v>
      </c>
      <c r="G884" t="s">
        <v>3701</v>
      </c>
      <c r="H884">
        <v>11</v>
      </c>
      <c r="I884">
        <v>4242.8999999999996</v>
      </c>
      <c r="J884">
        <v>46671.9</v>
      </c>
    </row>
    <row r="885" spans="1:10">
      <c r="A885" s="4">
        <v>45192</v>
      </c>
      <c r="B885" t="s">
        <v>3675</v>
      </c>
      <c r="C885" t="s">
        <v>3666</v>
      </c>
      <c r="D885" t="s">
        <v>2548</v>
      </c>
      <c r="E885" t="s">
        <v>1535</v>
      </c>
      <c r="F885" t="s">
        <v>3657</v>
      </c>
      <c r="G885" t="s">
        <v>3678</v>
      </c>
      <c r="H885">
        <v>9</v>
      </c>
      <c r="I885">
        <v>4639.93</v>
      </c>
      <c r="J885">
        <v>41759.370000000003</v>
      </c>
    </row>
    <row r="886" spans="1:10">
      <c r="A886" s="4">
        <v>45132</v>
      </c>
      <c r="B886" t="s">
        <v>3684</v>
      </c>
      <c r="C886" t="s">
        <v>3658</v>
      </c>
      <c r="D886" t="s">
        <v>2550</v>
      </c>
      <c r="E886" t="s">
        <v>1537</v>
      </c>
      <c r="F886" t="s">
        <v>1516</v>
      </c>
      <c r="G886" t="s">
        <v>3686</v>
      </c>
      <c r="H886">
        <v>4</v>
      </c>
      <c r="I886">
        <v>4336.92</v>
      </c>
      <c r="J886">
        <v>17347.68</v>
      </c>
    </row>
    <row r="887" spans="1:10">
      <c r="A887" s="4">
        <v>45036</v>
      </c>
      <c r="B887" t="s">
        <v>3673</v>
      </c>
      <c r="C887" t="s">
        <v>3669</v>
      </c>
      <c r="D887" t="s">
        <v>2551</v>
      </c>
      <c r="E887" t="s">
        <v>1538</v>
      </c>
      <c r="F887" t="s">
        <v>1517</v>
      </c>
      <c r="G887" t="s">
        <v>3672</v>
      </c>
      <c r="H887">
        <v>17</v>
      </c>
      <c r="I887">
        <v>1005.44</v>
      </c>
      <c r="J887">
        <v>17092.48</v>
      </c>
    </row>
    <row r="888" spans="1:10">
      <c r="A888" s="4">
        <v>44996</v>
      </c>
      <c r="B888" t="s">
        <v>3675</v>
      </c>
      <c r="C888" t="s">
        <v>3655</v>
      </c>
      <c r="D888" t="s">
        <v>2552</v>
      </c>
      <c r="E888" t="s">
        <v>1537</v>
      </c>
      <c r="F888" t="s">
        <v>1517</v>
      </c>
      <c r="G888" t="s">
        <v>3699</v>
      </c>
      <c r="H888">
        <v>18</v>
      </c>
      <c r="I888">
        <v>2231.56</v>
      </c>
      <c r="J888">
        <v>40168.080000000002</v>
      </c>
    </row>
    <row r="889" spans="1:10">
      <c r="A889" s="4">
        <v>45118</v>
      </c>
      <c r="B889" t="s">
        <v>3673</v>
      </c>
      <c r="C889" t="s">
        <v>3665</v>
      </c>
      <c r="D889" t="s">
        <v>2549</v>
      </c>
      <c r="E889" t="s">
        <v>1535</v>
      </c>
      <c r="F889" t="s">
        <v>1517</v>
      </c>
      <c r="G889" t="s">
        <v>3693</v>
      </c>
      <c r="H889">
        <v>14</v>
      </c>
      <c r="I889">
        <v>3677.67</v>
      </c>
      <c r="J889">
        <v>51487.38</v>
      </c>
    </row>
    <row r="890" spans="1:10">
      <c r="A890" s="4">
        <v>45003</v>
      </c>
      <c r="B890" t="s">
        <v>3676</v>
      </c>
      <c r="C890" t="s">
        <v>3658</v>
      </c>
      <c r="D890" t="s">
        <v>2550</v>
      </c>
      <c r="E890" t="s">
        <v>1537</v>
      </c>
      <c r="F890" t="s">
        <v>1514</v>
      </c>
      <c r="G890" t="s">
        <v>3698</v>
      </c>
      <c r="H890">
        <v>6</v>
      </c>
      <c r="I890">
        <v>1047.72</v>
      </c>
      <c r="J890">
        <v>6286.32</v>
      </c>
    </row>
    <row r="891" spans="1:10">
      <c r="A891" s="4">
        <v>45000</v>
      </c>
      <c r="B891" t="s">
        <v>3675</v>
      </c>
      <c r="C891" t="s">
        <v>3658</v>
      </c>
      <c r="D891" t="s">
        <v>2550</v>
      </c>
      <c r="E891" t="s">
        <v>1537</v>
      </c>
      <c r="F891" t="s">
        <v>1518</v>
      </c>
      <c r="G891" t="s">
        <v>3700</v>
      </c>
      <c r="H891">
        <v>20</v>
      </c>
      <c r="I891">
        <v>827.08</v>
      </c>
      <c r="J891">
        <v>16541.599999999999</v>
      </c>
    </row>
    <row r="892" spans="1:10">
      <c r="A892" s="4">
        <v>45290</v>
      </c>
      <c r="B892" t="s">
        <v>3675</v>
      </c>
      <c r="C892" t="s">
        <v>3662</v>
      </c>
      <c r="D892" t="s">
        <v>2552</v>
      </c>
      <c r="E892" t="s">
        <v>1537</v>
      </c>
      <c r="F892" t="s">
        <v>1518</v>
      </c>
      <c r="G892" t="s">
        <v>3680</v>
      </c>
      <c r="H892">
        <v>19</v>
      </c>
      <c r="I892">
        <v>1726.65</v>
      </c>
      <c r="J892">
        <v>32806.35</v>
      </c>
    </row>
    <row r="893" spans="1:10">
      <c r="A893" s="4">
        <v>45054</v>
      </c>
      <c r="B893" t="s">
        <v>3681</v>
      </c>
      <c r="C893" t="s">
        <v>3667</v>
      </c>
      <c r="D893" t="s">
        <v>2552</v>
      </c>
      <c r="E893" t="s">
        <v>1537</v>
      </c>
      <c r="F893" t="s">
        <v>1518</v>
      </c>
      <c r="G893" t="s">
        <v>3696</v>
      </c>
      <c r="H893">
        <v>17</v>
      </c>
      <c r="I893">
        <v>2339.5700000000002</v>
      </c>
      <c r="J893">
        <v>39772.69</v>
      </c>
    </row>
    <row r="894" spans="1:10">
      <c r="A894" s="4">
        <v>45048</v>
      </c>
      <c r="B894" t="s">
        <v>3681</v>
      </c>
      <c r="C894" t="s">
        <v>3658</v>
      </c>
      <c r="D894" t="s">
        <v>2550</v>
      </c>
      <c r="E894" t="s">
        <v>1537</v>
      </c>
      <c r="F894" t="s">
        <v>1516</v>
      </c>
      <c r="G894" t="s">
        <v>3686</v>
      </c>
      <c r="H894">
        <v>8</v>
      </c>
      <c r="I894">
        <v>4984.96</v>
      </c>
      <c r="J894">
        <v>39879.68</v>
      </c>
    </row>
    <row r="895" spans="1:10">
      <c r="A895" s="4">
        <v>45050</v>
      </c>
      <c r="B895" t="s">
        <v>3691</v>
      </c>
      <c r="C895" t="s">
        <v>3668</v>
      </c>
      <c r="D895" t="s">
        <v>2551</v>
      </c>
      <c r="E895" t="s">
        <v>1538</v>
      </c>
      <c r="F895" t="s">
        <v>1514</v>
      </c>
      <c r="G895" t="s">
        <v>3697</v>
      </c>
      <c r="H895">
        <v>17</v>
      </c>
      <c r="I895">
        <v>3259.21</v>
      </c>
      <c r="J895">
        <v>55406.57</v>
      </c>
    </row>
    <row r="896" spans="1:10">
      <c r="A896" s="4">
        <v>45168</v>
      </c>
      <c r="B896" t="s">
        <v>3675</v>
      </c>
      <c r="C896" t="s">
        <v>3661</v>
      </c>
      <c r="D896" t="s">
        <v>2550</v>
      </c>
      <c r="E896" t="s">
        <v>1537</v>
      </c>
      <c r="F896" t="s">
        <v>1517</v>
      </c>
      <c r="G896" t="s">
        <v>3672</v>
      </c>
      <c r="H896">
        <v>7</v>
      </c>
      <c r="I896">
        <v>4847.62</v>
      </c>
      <c r="J896">
        <v>33933.339999999997</v>
      </c>
    </row>
    <row r="897" spans="1:10">
      <c r="A897" s="4">
        <v>45130</v>
      </c>
      <c r="B897" t="s">
        <v>3676</v>
      </c>
      <c r="C897" t="s">
        <v>3656</v>
      </c>
      <c r="D897" t="s">
        <v>2550</v>
      </c>
      <c r="E897" t="s">
        <v>1537</v>
      </c>
      <c r="F897" t="s">
        <v>3657</v>
      </c>
      <c r="G897" t="s">
        <v>3690</v>
      </c>
      <c r="H897">
        <v>6</v>
      </c>
      <c r="I897">
        <v>2260.16</v>
      </c>
      <c r="J897">
        <v>13560.96</v>
      </c>
    </row>
    <row r="898" spans="1:10">
      <c r="A898" s="4">
        <v>45181</v>
      </c>
      <c r="B898" t="s">
        <v>3683</v>
      </c>
      <c r="C898" t="s">
        <v>3659</v>
      </c>
      <c r="D898" t="s">
        <v>2551</v>
      </c>
      <c r="E898" t="s">
        <v>1538</v>
      </c>
      <c r="F898" t="s">
        <v>1517</v>
      </c>
      <c r="G898" t="s">
        <v>3693</v>
      </c>
      <c r="H898">
        <v>16</v>
      </c>
      <c r="I898">
        <v>1795.37</v>
      </c>
      <c r="J898">
        <v>28725.919999999998</v>
      </c>
    </row>
    <row r="899" spans="1:10">
      <c r="A899" s="4">
        <v>45049</v>
      </c>
      <c r="B899" t="s">
        <v>3683</v>
      </c>
      <c r="C899" t="s">
        <v>3664</v>
      </c>
      <c r="D899" t="s">
        <v>2548</v>
      </c>
      <c r="E899" t="s">
        <v>1535</v>
      </c>
      <c r="F899" t="s">
        <v>1514</v>
      </c>
      <c r="G899" t="s">
        <v>3698</v>
      </c>
      <c r="H899">
        <v>19</v>
      </c>
      <c r="I899">
        <v>2040.79</v>
      </c>
      <c r="J899">
        <v>38775.01</v>
      </c>
    </row>
    <row r="900" spans="1:10">
      <c r="A900" s="4">
        <v>45135</v>
      </c>
      <c r="B900" t="s">
        <v>3689</v>
      </c>
      <c r="C900" t="s">
        <v>3662</v>
      </c>
      <c r="D900" t="s">
        <v>2552</v>
      </c>
      <c r="E900" t="s">
        <v>1537</v>
      </c>
      <c r="F900" t="s">
        <v>1517</v>
      </c>
      <c r="G900" t="s">
        <v>3701</v>
      </c>
      <c r="H900">
        <v>13</v>
      </c>
      <c r="I900">
        <v>1764.64</v>
      </c>
      <c r="J900">
        <v>22940.32</v>
      </c>
    </row>
    <row r="901" spans="1:10">
      <c r="A901" s="4">
        <v>45159</v>
      </c>
      <c r="B901" t="s">
        <v>3673</v>
      </c>
      <c r="C901" t="s">
        <v>3661</v>
      </c>
      <c r="D901" t="s">
        <v>2550</v>
      </c>
      <c r="E901" t="s">
        <v>1537</v>
      </c>
      <c r="F901" t="s">
        <v>3657</v>
      </c>
      <c r="G901" t="s">
        <v>3690</v>
      </c>
      <c r="H901">
        <v>6</v>
      </c>
      <c r="I901">
        <v>746.23</v>
      </c>
      <c r="J901">
        <v>4477.38</v>
      </c>
    </row>
    <row r="902" spans="1:10">
      <c r="A902" s="4">
        <v>45240</v>
      </c>
      <c r="B902" t="s">
        <v>3676</v>
      </c>
      <c r="C902" t="s">
        <v>3659</v>
      </c>
      <c r="D902" t="s">
        <v>2551</v>
      </c>
      <c r="E902" t="s">
        <v>1538</v>
      </c>
      <c r="F902" t="s">
        <v>1517</v>
      </c>
      <c r="G902" t="s">
        <v>3699</v>
      </c>
      <c r="H902">
        <v>14</v>
      </c>
      <c r="I902">
        <v>2385.9899999999998</v>
      </c>
      <c r="J902">
        <v>33403.86</v>
      </c>
    </row>
    <row r="903" spans="1:10">
      <c r="A903" s="4">
        <v>45028</v>
      </c>
      <c r="B903" t="s">
        <v>3673</v>
      </c>
      <c r="C903" t="s">
        <v>3664</v>
      </c>
      <c r="D903" t="s">
        <v>2548</v>
      </c>
      <c r="E903" t="s">
        <v>1535</v>
      </c>
      <c r="F903" t="s">
        <v>1514</v>
      </c>
      <c r="G903" t="s">
        <v>3682</v>
      </c>
      <c r="H903">
        <v>1</v>
      </c>
      <c r="I903">
        <v>2362.15</v>
      </c>
      <c r="J903">
        <v>2362.15</v>
      </c>
    </row>
    <row r="904" spans="1:10">
      <c r="A904" s="4">
        <v>45286</v>
      </c>
      <c r="B904" t="s">
        <v>3683</v>
      </c>
      <c r="C904" t="s">
        <v>3659</v>
      </c>
      <c r="D904" t="s">
        <v>2551</v>
      </c>
      <c r="E904" t="s">
        <v>1538</v>
      </c>
      <c r="F904" t="s">
        <v>1516</v>
      </c>
      <c r="G904" t="s">
        <v>3686</v>
      </c>
      <c r="H904">
        <v>16</v>
      </c>
      <c r="I904">
        <v>1236.8</v>
      </c>
      <c r="J904">
        <v>19788.8</v>
      </c>
    </row>
    <row r="905" spans="1:10">
      <c r="A905" s="4">
        <v>44965</v>
      </c>
      <c r="B905" t="s">
        <v>3679</v>
      </c>
      <c r="C905" t="s">
        <v>3659</v>
      </c>
      <c r="D905" t="s">
        <v>2551</v>
      </c>
      <c r="E905" t="s">
        <v>1538</v>
      </c>
      <c r="F905" t="s">
        <v>1514</v>
      </c>
      <c r="G905" t="s">
        <v>3685</v>
      </c>
      <c r="H905">
        <v>17</v>
      </c>
      <c r="I905">
        <v>1248.03</v>
      </c>
      <c r="J905">
        <v>21216.51</v>
      </c>
    </row>
    <row r="906" spans="1:10">
      <c r="A906" s="4">
        <v>45080</v>
      </c>
      <c r="B906" t="s">
        <v>3689</v>
      </c>
      <c r="C906" t="s">
        <v>3668</v>
      </c>
      <c r="D906" t="s">
        <v>2551</v>
      </c>
      <c r="E906" t="s">
        <v>1538</v>
      </c>
      <c r="F906" t="s">
        <v>1518</v>
      </c>
      <c r="G906" t="s">
        <v>3680</v>
      </c>
      <c r="H906">
        <v>16</v>
      </c>
      <c r="I906">
        <v>665.83</v>
      </c>
      <c r="J906">
        <v>10653.28</v>
      </c>
    </row>
    <row r="907" spans="1:10">
      <c r="A907" s="4">
        <v>45052</v>
      </c>
      <c r="B907" t="s">
        <v>3673</v>
      </c>
      <c r="C907" t="s">
        <v>3665</v>
      </c>
      <c r="D907" t="s">
        <v>2549</v>
      </c>
      <c r="E907" t="s">
        <v>1535</v>
      </c>
      <c r="F907" t="s">
        <v>1514</v>
      </c>
      <c r="G907" t="s">
        <v>3697</v>
      </c>
      <c r="H907">
        <v>16</v>
      </c>
      <c r="I907">
        <v>615.70000000000005</v>
      </c>
      <c r="J907">
        <v>9851.2000000000007</v>
      </c>
    </row>
    <row r="908" spans="1:10">
      <c r="A908" s="4">
        <v>45103</v>
      </c>
      <c r="B908" t="s">
        <v>3684</v>
      </c>
      <c r="C908" t="s">
        <v>3662</v>
      </c>
      <c r="D908" t="s">
        <v>2552</v>
      </c>
      <c r="E908" t="s">
        <v>1537</v>
      </c>
      <c r="F908" t="s">
        <v>1518</v>
      </c>
      <c r="G908" t="s">
        <v>3700</v>
      </c>
      <c r="H908">
        <v>13</v>
      </c>
      <c r="I908">
        <v>3616.99</v>
      </c>
      <c r="J908">
        <v>47020.87</v>
      </c>
    </row>
    <row r="909" spans="1:10">
      <c r="A909" s="4">
        <v>45085</v>
      </c>
      <c r="B909" t="s">
        <v>3691</v>
      </c>
      <c r="C909" t="s">
        <v>3658</v>
      </c>
      <c r="D909" t="s">
        <v>2550</v>
      </c>
      <c r="E909" t="s">
        <v>1537</v>
      </c>
      <c r="F909" t="s">
        <v>1516</v>
      </c>
      <c r="G909" t="s">
        <v>3686</v>
      </c>
      <c r="H909">
        <v>9</v>
      </c>
      <c r="I909">
        <v>1940.11</v>
      </c>
      <c r="J909">
        <v>17460.990000000002</v>
      </c>
    </row>
    <row r="910" spans="1:10">
      <c r="A910" s="4">
        <v>45036</v>
      </c>
      <c r="B910" t="s">
        <v>3688</v>
      </c>
      <c r="C910" t="s">
        <v>3658</v>
      </c>
      <c r="D910" t="s">
        <v>2550</v>
      </c>
      <c r="E910" t="s">
        <v>1537</v>
      </c>
      <c r="F910" t="s">
        <v>1514</v>
      </c>
      <c r="G910" t="s">
        <v>3685</v>
      </c>
      <c r="H910">
        <v>16</v>
      </c>
      <c r="I910">
        <v>1064.93</v>
      </c>
      <c r="J910">
        <v>17038.88</v>
      </c>
    </row>
    <row r="911" spans="1:10">
      <c r="A911" s="4">
        <v>44968</v>
      </c>
      <c r="B911" t="s">
        <v>3688</v>
      </c>
      <c r="C911" t="s">
        <v>3654</v>
      </c>
      <c r="D911" t="s">
        <v>2549</v>
      </c>
      <c r="E911" t="s">
        <v>1535</v>
      </c>
      <c r="F911" t="s">
        <v>1516</v>
      </c>
      <c r="G911" t="s">
        <v>3695</v>
      </c>
      <c r="H911">
        <v>2</v>
      </c>
      <c r="I911">
        <v>4845.74</v>
      </c>
      <c r="J911">
        <v>9691.48</v>
      </c>
    </row>
    <row r="912" spans="1:10">
      <c r="A912" s="4">
        <v>45168</v>
      </c>
      <c r="B912" t="s">
        <v>3679</v>
      </c>
      <c r="C912" t="s">
        <v>3655</v>
      </c>
      <c r="D912" t="s">
        <v>2552</v>
      </c>
      <c r="E912" t="s">
        <v>1537</v>
      </c>
      <c r="F912" t="s">
        <v>3657</v>
      </c>
      <c r="G912" t="s">
        <v>3694</v>
      </c>
      <c r="H912">
        <v>3</v>
      </c>
      <c r="I912">
        <v>4766.28</v>
      </c>
      <c r="J912">
        <v>14298.84</v>
      </c>
    </row>
    <row r="913" spans="1:10">
      <c r="A913" s="4">
        <v>44996</v>
      </c>
      <c r="B913" t="s">
        <v>3675</v>
      </c>
      <c r="C913" t="s">
        <v>3659</v>
      </c>
      <c r="D913" t="s">
        <v>2551</v>
      </c>
      <c r="E913" t="s">
        <v>1538</v>
      </c>
      <c r="F913" t="s">
        <v>1516</v>
      </c>
      <c r="G913" t="s">
        <v>3695</v>
      </c>
      <c r="H913">
        <v>15</v>
      </c>
      <c r="I913">
        <v>3946.23</v>
      </c>
      <c r="J913">
        <v>59193.45</v>
      </c>
    </row>
    <row r="914" spans="1:10">
      <c r="A914" s="4">
        <v>45115</v>
      </c>
      <c r="B914" t="s">
        <v>3684</v>
      </c>
      <c r="C914" t="s">
        <v>3663</v>
      </c>
      <c r="D914" t="s">
        <v>2548</v>
      </c>
      <c r="E914" t="s">
        <v>1535</v>
      </c>
      <c r="F914" t="s">
        <v>1516</v>
      </c>
      <c r="G914" t="s">
        <v>3686</v>
      </c>
      <c r="H914">
        <v>12</v>
      </c>
      <c r="I914">
        <v>1804.27</v>
      </c>
      <c r="J914">
        <v>21651.24</v>
      </c>
    </row>
    <row r="915" spans="1:10">
      <c r="A915" s="4">
        <v>45253</v>
      </c>
      <c r="B915" t="s">
        <v>3681</v>
      </c>
      <c r="C915" t="s">
        <v>3660</v>
      </c>
      <c r="D915" t="s">
        <v>2549</v>
      </c>
      <c r="E915" t="s">
        <v>1535</v>
      </c>
      <c r="F915" t="s">
        <v>1514</v>
      </c>
      <c r="G915" t="s">
        <v>3682</v>
      </c>
      <c r="H915">
        <v>3</v>
      </c>
      <c r="I915">
        <v>2055.4499999999998</v>
      </c>
      <c r="J915">
        <v>6166.35</v>
      </c>
    </row>
    <row r="916" spans="1:10">
      <c r="A916" s="4">
        <v>45204</v>
      </c>
      <c r="B916" t="s">
        <v>3681</v>
      </c>
      <c r="C916" t="s">
        <v>3659</v>
      </c>
      <c r="D916" t="s">
        <v>2551</v>
      </c>
      <c r="E916" t="s">
        <v>1538</v>
      </c>
      <c r="F916" t="s">
        <v>1517</v>
      </c>
      <c r="G916" t="s">
        <v>3693</v>
      </c>
      <c r="H916">
        <v>5</v>
      </c>
      <c r="I916">
        <v>1568.68</v>
      </c>
      <c r="J916">
        <v>7843.4</v>
      </c>
    </row>
    <row r="917" spans="1:10">
      <c r="A917" s="4">
        <v>44975</v>
      </c>
      <c r="B917" t="s">
        <v>3683</v>
      </c>
      <c r="C917" t="s">
        <v>3655</v>
      </c>
      <c r="D917" t="s">
        <v>2552</v>
      </c>
      <c r="E917" t="s">
        <v>1537</v>
      </c>
      <c r="F917" t="s">
        <v>1517</v>
      </c>
      <c r="G917" t="s">
        <v>3699</v>
      </c>
      <c r="H917">
        <v>16</v>
      </c>
      <c r="I917">
        <v>2288.6799999999998</v>
      </c>
      <c r="J917">
        <v>36618.879999999997</v>
      </c>
    </row>
    <row r="918" spans="1:10">
      <c r="A918" s="4">
        <v>45084</v>
      </c>
      <c r="B918" t="s">
        <v>3689</v>
      </c>
      <c r="C918" t="s">
        <v>3658</v>
      </c>
      <c r="D918" t="s">
        <v>2550</v>
      </c>
      <c r="E918" t="s">
        <v>1537</v>
      </c>
      <c r="F918" t="s">
        <v>1517</v>
      </c>
      <c r="G918" t="s">
        <v>3701</v>
      </c>
      <c r="H918">
        <v>12</v>
      </c>
      <c r="I918">
        <v>2133.0500000000002</v>
      </c>
      <c r="J918">
        <v>25596.6</v>
      </c>
    </row>
    <row r="919" spans="1:10">
      <c r="A919" s="4">
        <v>45021</v>
      </c>
      <c r="B919" t="s">
        <v>3689</v>
      </c>
      <c r="C919" t="s">
        <v>3665</v>
      </c>
      <c r="D919" t="s">
        <v>2549</v>
      </c>
      <c r="E919" t="s">
        <v>1535</v>
      </c>
      <c r="F919" t="s">
        <v>3657</v>
      </c>
      <c r="G919" t="s">
        <v>3692</v>
      </c>
      <c r="H919">
        <v>4</v>
      </c>
      <c r="I919">
        <v>1208.42</v>
      </c>
      <c r="J919">
        <v>4833.68</v>
      </c>
    </row>
    <row r="920" spans="1:10">
      <c r="A920" s="4">
        <v>45086</v>
      </c>
      <c r="B920" t="s">
        <v>3689</v>
      </c>
      <c r="C920" t="s">
        <v>3669</v>
      </c>
      <c r="D920" t="s">
        <v>2551</v>
      </c>
      <c r="E920" t="s">
        <v>1538</v>
      </c>
      <c r="F920" t="s">
        <v>1518</v>
      </c>
      <c r="G920" t="s">
        <v>3674</v>
      </c>
      <c r="H920">
        <v>14</v>
      </c>
      <c r="I920">
        <v>630.45000000000005</v>
      </c>
      <c r="J920">
        <v>8826.2999999999993</v>
      </c>
    </row>
    <row r="921" spans="1:10">
      <c r="A921" s="4">
        <v>44948</v>
      </c>
      <c r="B921" t="s">
        <v>3681</v>
      </c>
      <c r="C921" t="s">
        <v>3660</v>
      </c>
      <c r="D921" t="s">
        <v>2549</v>
      </c>
      <c r="E921" t="s">
        <v>1535</v>
      </c>
      <c r="F921" t="s">
        <v>1516</v>
      </c>
      <c r="G921" t="s">
        <v>3677</v>
      </c>
      <c r="H921">
        <v>14</v>
      </c>
      <c r="I921">
        <v>2713.47</v>
      </c>
      <c r="J921">
        <v>37988.58</v>
      </c>
    </row>
    <row r="922" spans="1:10">
      <c r="A922" s="4">
        <v>45025</v>
      </c>
      <c r="B922" t="s">
        <v>3673</v>
      </c>
      <c r="C922" t="s">
        <v>3669</v>
      </c>
      <c r="D922" t="s">
        <v>2551</v>
      </c>
      <c r="E922" t="s">
        <v>1538</v>
      </c>
      <c r="F922" t="s">
        <v>1517</v>
      </c>
      <c r="G922" t="s">
        <v>3701</v>
      </c>
      <c r="H922">
        <v>7</v>
      </c>
      <c r="I922">
        <v>3273.61</v>
      </c>
      <c r="J922">
        <v>22915.27</v>
      </c>
    </row>
    <row r="923" spans="1:10">
      <c r="A923" s="4">
        <v>45189</v>
      </c>
      <c r="B923" t="s">
        <v>3681</v>
      </c>
      <c r="C923" t="s">
        <v>3665</v>
      </c>
      <c r="D923" t="s">
        <v>2549</v>
      </c>
      <c r="E923" t="s">
        <v>1535</v>
      </c>
      <c r="F923" t="s">
        <v>1516</v>
      </c>
      <c r="G923" t="s">
        <v>3687</v>
      </c>
      <c r="H923">
        <v>9</v>
      </c>
      <c r="I923">
        <v>566.91999999999996</v>
      </c>
      <c r="J923">
        <v>5102.28</v>
      </c>
    </row>
    <row r="924" spans="1:10">
      <c r="A924" s="4">
        <v>45004</v>
      </c>
      <c r="B924" t="s">
        <v>3688</v>
      </c>
      <c r="C924" t="s">
        <v>3655</v>
      </c>
      <c r="D924" t="s">
        <v>2552</v>
      </c>
      <c r="E924" t="s">
        <v>1537</v>
      </c>
      <c r="F924" t="s">
        <v>1514</v>
      </c>
      <c r="G924" t="s">
        <v>3685</v>
      </c>
      <c r="H924">
        <v>2</v>
      </c>
      <c r="I924">
        <v>3830.39</v>
      </c>
      <c r="J924">
        <v>7660.78</v>
      </c>
    </row>
    <row r="925" spans="1:10">
      <c r="A925" s="4">
        <v>45250</v>
      </c>
      <c r="B925" t="s">
        <v>3679</v>
      </c>
      <c r="C925" t="s">
        <v>3665</v>
      </c>
      <c r="D925" t="s">
        <v>2549</v>
      </c>
      <c r="E925" t="s">
        <v>1535</v>
      </c>
      <c r="F925" t="s">
        <v>1514</v>
      </c>
      <c r="G925" t="s">
        <v>3697</v>
      </c>
      <c r="H925">
        <v>7</v>
      </c>
      <c r="I925">
        <v>4456.5</v>
      </c>
      <c r="J925">
        <v>31195.5</v>
      </c>
    </row>
    <row r="926" spans="1:10">
      <c r="A926" s="4">
        <v>45156</v>
      </c>
      <c r="B926" t="s">
        <v>3673</v>
      </c>
      <c r="C926" t="s">
        <v>3656</v>
      </c>
      <c r="D926" t="s">
        <v>2550</v>
      </c>
      <c r="E926" t="s">
        <v>1537</v>
      </c>
      <c r="F926" t="s">
        <v>1518</v>
      </c>
      <c r="G926" t="s">
        <v>3696</v>
      </c>
      <c r="H926">
        <v>15</v>
      </c>
      <c r="I926">
        <v>202.66</v>
      </c>
      <c r="J926">
        <v>3039.9</v>
      </c>
    </row>
    <row r="927" spans="1:10">
      <c r="A927" s="4">
        <v>45036</v>
      </c>
      <c r="B927" t="s">
        <v>3688</v>
      </c>
      <c r="C927" t="s">
        <v>3660</v>
      </c>
      <c r="D927" t="s">
        <v>2549</v>
      </c>
      <c r="E927" t="s">
        <v>1535</v>
      </c>
      <c r="F927" t="s">
        <v>1516</v>
      </c>
      <c r="G927" t="s">
        <v>3686</v>
      </c>
      <c r="H927">
        <v>10</v>
      </c>
      <c r="I927">
        <v>1018.19</v>
      </c>
      <c r="J927">
        <v>10181.9</v>
      </c>
    </row>
    <row r="928" spans="1:10">
      <c r="A928" s="4">
        <v>45021</v>
      </c>
      <c r="B928" t="s">
        <v>3673</v>
      </c>
      <c r="C928" t="s">
        <v>3663</v>
      </c>
      <c r="D928" t="s">
        <v>2548</v>
      </c>
      <c r="E928" t="s">
        <v>1535</v>
      </c>
      <c r="F928" t="s">
        <v>1516</v>
      </c>
      <c r="G928" t="s">
        <v>3686</v>
      </c>
      <c r="H928">
        <v>4</v>
      </c>
      <c r="I928">
        <v>3300.36</v>
      </c>
      <c r="J928">
        <v>13201.44</v>
      </c>
    </row>
    <row r="929" spans="1:10">
      <c r="A929" s="4">
        <v>45008</v>
      </c>
      <c r="B929" t="s">
        <v>3675</v>
      </c>
      <c r="C929" t="s">
        <v>3659</v>
      </c>
      <c r="D929" t="s">
        <v>2551</v>
      </c>
      <c r="E929" t="s">
        <v>1538</v>
      </c>
      <c r="F929" t="s">
        <v>1516</v>
      </c>
      <c r="G929" t="s">
        <v>3686</v>
      </c>
      <c r="H929">
        <v>12</v>
      </c>
      <c r="I929">
        <v>957.01</v>
      </c>
      <c r="J929">
        <v>11484.12</v>
      </c>
    </row>
    <row r="930" spans="1:10">
      <c r="A930" s="4">
        <v>45244</v>
      </c>
      <c r="B930" t="s">
        <v>3675</v>
      </c>
      <c r="C930" t="s">
        <v>3656</v>
      </c>
      <c r="D930" t="s">
        <v>2550</v>
      </c>
      <c r="E930" t="s">
        <v>1537</v>
      </c>
      <c r="F930" t="s">
        <v>3657</v>
      </c>
      <c r="G930" t="s">
        <v>3690</v>
      </c>
      <c r="H930">
        <v>19</v>
      </c>
      <c r="I930">
        <v>1933.19</v>
      </c>
      <c r="J930">
        <v>36730.61</v>
      </c>
    </row>
    <row r="931" spans="1:10">
      <c r="A931" s="4">
        <v>45125</v>
      </c>
      <c r="B931" t="s">
        <v>3676</v>
      </c>
      <c r="C931" t="s">
        <v>3669</v>
      </c>
      <c r="D931" t="s">
        <v>2551</v>
      </c>
      <c r="E931" t="s">
        <v>1538</v>
      </c>
      <c r="F931" t="s">
        <v>1517</v>
      </c>
      <c r="G931" t="s">
        <v>3701</v>
      </c>
      <c r="H931">
        <v>15</v>
      </c>
      <c r="I931">
        <v>834.13</v>
      </c>
      <c r="J931">
        <v>12511.95</v>
      </c>
    </row>
    <row r="932" spans="1:10">
      <c r="A932" s="4">
        <v>45095</v>
      </c>
      <c r="B932" t="s">
        <v>3683</v>
      </c>
      <c r="C932" t="s">
        <v>3655</v>
      </c>
      <c r="D932" t="s">
        <v>2552</v>
      </c>
      <c r="E932" t="s">
        <v>1537</v>
      </c>
      <c r="F932" t="s">
        <v>1518</v>
      </c>
      <c r="G932" t="s">
        <v>3696</v>
      </c>
      <c r="H932">
        <v>18</v>
      </c>
      <c r="I932">
        <v>2535.8200000000002</v>
      </c>
      <c r="J932">
        <v>45644.76</v>
      </c>
    </row>
    <row r="933" spans="1:10">
      <c r="A933" s="4">
        <v>44995</v>
      </c>
      <c r="B933" t="s">
        <v>3675</v>
      </c>
      <c r="C933" t="s">
        <v>3656</v>
      </c>
      <c r="D933" t="s">
        <v>2550</v>
      </c>
      <c r="E933" t="s">
        <v>1537</v>
      </c>
      <c r="F933" t="s">
        <v>3657</v>
      </c>
      <c r="G933" t="s">
        <v>3694</v>
      </c>
      <c r="H933">
        <v>18</v>
      </c>
      <c r="I933">
        <v>2299.9299999999998</v>
      </c>
      <c r="J933">
        <v>41398.74</v>
      </c>
    </row>
    <row r="934" spans="1:10">
      <c r="A934" s="4">
        <v>45214</v>
      </c>
      <c r="B934" t="s">
        <v>3683</v>
      </c>
      <c r="C934" t="s">
        <v>3663</v>
      </c>
      <c r="D934" t="s">
        <v>2548</v>
      </c>
      <c r="E934" t="s">
        <v>1535</v>
      </c>
      <c r="F934" t="s">
        <v>1517</v>
      </c>
      <c r="G934" t="s">
        <v>3693</v>
      </c>
      <c r="H934">
        <v>5</v>
      </c>
      <c r="I934">
        <v>606.49</v>
      </c>
      <c r="J934">
        <v>3032.45</v>
      </c>
    </row>
    <row r="935" spans="1:10">
      <c r="A935" s="4">
        <v>45002</v>
      </c>
      <c r="B935" t="s">
        <v>3681</v>
      </c>
      <c r="C935" t="s">
        <v>3662</v>
      </c>
      <c r="D935" t="s">
        <v>2552</v>
      </c>
      <c r="E935" t="s">
        <v>1537</v>
      </c>
      <c r="F935" t="s">
        <v>1518</v>
      </c>
      <c r="G935" t="s">
        <v>3680</v>
      </c>
      <c r="H935">
        <v>6</v>
      </c>
      <c r="I935">
        <v>1919.03</v>
      </c>
      <c r="J935">
        <v>11514.18</v>
      </c>
    </row>
    <row r="936" spans="1:10">
      <c r="A936" s="4">
        <v>45079</v>
      </c>
      <c r="B936" t="s">
        <v>3673</v>
      </c>
      <c r="C936" t="s">
        <v>3662</v>
      </c>
      <c r="D936" t="s">
        <v>2552</v>
      </c>
      <c r="E936" t="s">
        <v>1537</v>
      </c>
      <c r="F936" t="s">
        <v>1518</v>
      </c>
      <c r="G936" t="s">
        <v>3696</v>
      </c>
      <c r="H936">
        <v>9</v>
      </c>
      <c r="I936">
        <v>662.41</v>
      </c>
      <c r="J936">
        <v>5961.69</v>
      </c>
    </row>
    <row r="937" spans="1:10">
      <c r="A937" s="4">
        <v>44935</v>
      </c>
      <c r="B937" t="s">
        <v>3691</v>
      </c>
      <c r="C937" t="s">
        <v>3658</v>
      </c>
      <c r="D937" t="s">
        <v>2550</v>
      </c>
      <c r="E937" t="s">
        <v>1537</v>
      </c>
      <c r="F937" t="s">
        <v>1518</v>
      </c>
      <c r="G937" t="s">
        <v>3700</v>
      </c>
      <c r="H937">
        <v>18</v>
      </c>
      <c r="I937">
        <v>970.52</v>
      </c>
      <c r="J937">
        <v>17469.36</v>
      </c>
    </row>
    <row r="938" spans="1:10">
      <c r="A938" s="4">
        <v>45204</v>
      </c>
      <c r="B938" t="s">
        <v>3689</v>
      </c>
      <c r="C938" t="s">
        <v>3659</v>
      </c>
      <c r="D938" t="s">
        <v>2551</v>
      </c>
      <c r="E938" t="s">
        <v>1538</v>
      </c>
      <c r="F938" t="s">
        <v>1514</v>
      </c>
      <c r="G938" t="s">
        <v>3697</v>
      </c>
      <c r="H938">
        <v>2</v>
      </c>
      <c r="I938">
        <v>4112.53</v>
      </c>
      <c r="J938">
        <v>8225.06</v>
      </c>
    </row>
    <row r="939" spans="1:10">
      <c r="A939" s="4">
        <v>45050</v>
      </c>
      <c r="B939" t="s">
        <v>3683</v>
      </c>
      <c r="C939" t="s">
        <v>3655</v>
      </c>
      <c r="D939" t="s">
        <v>2552</v>
      </c>
      <c r="E939" t="s">
        <v>1537</v>
      </c>
      <c r="F939" t="s">
        <v>1514</v>
      </c>
      <c r="G939" t="s">
        <v>3697</v>
      </c>
      <c r="H939">
        <v>4</v>
      </c>
      <c r="I939">
        <v>4968.93</v>
      </c>
      <c r="J939">
        <v>19875.72</v>
      </c>
    </row>
    <row r="940" spans="1:10">
      <c r="A940" s="4">
        <v>45281</v>
      </c>
      <c r="B940" t="s">
        <v>3684</v>
      </c>
      <c r="C940" t="s">
        <v>3667</v>
      </c>
      <c r="D940" t="s">
        <v>2552</v>
      </c>
      <c r="E940" t="s">
        <v>1537</v>
      </c>
      <c r="F940" t="s">
        <v>1516</v>
      </c>
      <c r="G940" t="s">
        <v>3687</v>
      </c>
      <c r="H940">
        <v>2</v>
      </c>
      <c r="I940">
        <v>339.56</v>
      </c>
      <c r="J940">
        <v>679.12</v>
      </c>
    </row>
    <row r="941" spans="1:10">
      <c r="A941" s="4">
        <v>45131</v>
      </c>
      <c r="B941" t="s">
        <v>3675</v>
      </c>
      <c r="C941" t="s">
        <v>3655</v>
      </c>
      <c r="D941" t="s">
        <v>2552</v>
      </c>
      <c r="E941" t="s">
        <v>1537</v>
      </c>
      <c r="F941" t="s">
        <v>1518</v>
      </c>
      <c r="G941" t="s">
        <v>3674</v>
      </c>
      <c r="H941">
        <v>3</v>
      </c>
      <c r="I941">
        <v>3853.05</v>
      </c>
      <c r="J941">
        <v>11559.15</v>
      </c>
    </row>
    <row r="942" spans="1:10">
      <c r="A942" s="4">
        <v>45062</v>
      </c>
      <c r="B942" t="s">
        <v>3676</v>
      </c>
      <c r="C942" t="s">
        <v>3669</v>
      </c>
      <c r="D942" t="s">
        <v>2551</v>
      </c>
      <c r="E942" t="s">
        <v>1538</v>
      </c>
      <c r="F942" t="s">
        <v>1516</v>
      </c>
      <c r="G942" t="s">
        <v>3677</v>
      </c>
      <c r="H942">
        <v>11</v>
      </c>
      <c r="I942">
        <v>2212.9</v>
      </c>
      <c r="J942">
        <v>24341.9</v>
      </c>
    </row>
    <row r="943" spans="1:10">
      <c r="A943" s="4">
        <v>45084</v>
      </c>
      <c r="B943" t="s">
        <v>3688</v>
      </c>
      <c r="C943" t="s">
        <v>3656</v>
      </c>
      <c r="D943" t="s">
        <v>2550</v>
      </c>
      <c r="E943" t="s">
        <v>1537</v>
      </c>
      <c r="F943" t="s">
        <v>1518</v>
      </c>
      <c r="G943" t="s">
        <v>3700</v>
      </c>
      <c r="H943">
        <v>18</v>
      </c>
      <c r="I943">
        <v>509.79</v>
      </c>
      <c r="J943">
        <v>9176.2199999999993</v>
      </c>
    </row>
    <row r="944" spans="1:10">
      <c r="A944" s="4">
        <v>45082</v>
      </c>
      <c r="B944" t="s">
        <v>3691</v>
      </c>
      <c r="C944" t="s">
        <v>3667</v>
      </c>
      <c r="D944" t="s">
        <v>2552</v>
      </c>
      <c r="E944" t="s">
        <v>1537</v>
      </c>
      <c r="F944" t="s">
        <v>1517</v>
      </c>
      <c r="G944" t="s">
        <v>3693</v>
      </c>
      <c r="H944">
        <v>16</v>
      </c>
      <c r="I944">
        <v>2724.77</v>
      </c>
      <c r="J944">
        <v>43596.32</v>
      </c>
    </row>
    <row r="945" spans="1:10">
      <c r="A945" s="4">
        <v>45094</v>
      </c>
      <c r="B945" t="s">
        <v>3689</v>
      </c>
      <c r="C945" t="s">
        <v>3660</v>
      </c>
      <c r="D945" t="s">
        <v>2549</v>
      </c>
      <c r="E945" t="s">
        <v>1535</v>
      </c>
      <c r="F945" t="s">
        <v>1516</v>
      </c>
      <c r="G945" t="s">
        <v>3686</v>
      </c>
      <c r="H945">
        <v>18</v>
      </c>
      <c r="I945">
        <v>4718.22</v>
      </c>
      <c r="J945">
        <v>84927.96</v>
      </c>
    </row>
    <row r="946" spans="1:10">
      <c r="A946" s="4">
        <v>44971</v>
      </c>
      <c r="B946" t="s">
        <v>3689</v>
      </c>
      <c r="C946" t="s">
        <v>3658</v>
      </c>
      <c r="D946" t="s">
        <v>2550</v>
      </c>
      <c r="E946" t="s">
        <v>1537</v>
      </c>
      <c r="F946" t="s">
        <v>1514</v>
      </c>
      <c r="G946" t="s">
        <v>3698</v>
      </c>
      <c r="H946">
        <v>9</v>
      </c>
      <c r="I946">
        <v>4811.76</v>
      </c>
      <c r="J946">
        <v>43305.84</v>
      </c>
    </row>
    <row r="947" spans="1:10">
      <c r="A947" s="4">
        <v>44933</v>
      </c>
      <c r="B947" t="s">
        <v>3673</v>
      </c>
      <c r="C947" t="s">
        <v>3656</v>
      </c>
      <c r="D947" t="s">
        <v>2550</v>
      </c>
      <c r="E947" t="s">
        <v>1537</v>
      </c>
      <c r="F947" t="s">
        <v>1517</v>
      </c>
      <c r="G947" t="s">
        <v>3701</v>
      </c>
      <c r="H947">
        <v>8</v>
      </c>
      <c r="I947">
        <v>4021.86</v>
      </c>
      <c r="J947">
        <v>32174.880000000001</v>
      </c>
    </row>
    <row r="948" spans="1:10">
      <c r="A948" s="4">
        <v>44953</v>
      </c>
      <c r="B948" t="s">
        <v>3691</v>
      </c>
      <c r="C948" t="s">
        <v>3655</v>
      </c>
      <c r="D948" t="s">
        <v>2552</v>
      </c>
      <c r="E948" t="s">
        <v>1537</v>
      </c>
      <c r="F948" t="s">
        <v>1517</v>
      </c>
      <c r="G948" t="s">
        <v>3693</v>
      </c>
      <c r="H948">
        <v>16</v>
      </c>
      <c r="I948">
        <v>4008.72</v>
      </c>
      <c r="J948">
        <v>64139.519999999997</v>
      </c>
    </row>
    <row r="949" spans="1:10">
      <c r="A949" s="4">
        <v>45157</v>
      </c>
      <c r="B949" t="s">
        <v>3673</v>
      </c>
      <c r="C949" t="s">
        <v>3666</v>
      </c>
      <c r="D949" t="s">
        <v>2548</v>
      </c>
      <c r="E949" t="s">
        <v>1535</v>
      </c>
      <c r="F949" t="s">
        <v>1517</v>
      </c>
      <c r="G949" t="s">
        <v>3701</v>
      </c>
      <c r="H949">
        <v>14</v>
      </c>
      <c r="I949">
        <v>4793.38</v>
      </c>
      <c r="J949">
        <v>67107.320000000007</v>
      </c>
    </row>
    <row r="950" spans="1:10">
      <c r="A950" s="4">
        <v>44954</v>
      </c>
      <c r="B950" t="s">
        <v>3683</v>
      </c>
      <c r="C950" t="s">
        <v>3668</v>
      </c>
      <c r="D950" t="s">
        <v>2551</v>
      </c>
      <c r="E950" t="s">
        <v>1538</v>
      </c>
      <c r="F950" t="s">
        <v>1517</v>
      </c>
      <c r="G950" t="s">
        <v>3699</v>
      </c>
      <c r="H950">
        <v>14</v>
      </c>
      <c r="I950">
        <v>4816.3900000000003</v>
      </c>
      <c r="J950">
        <v>67429.460000000006</v>
      </c>
    </row>
    <row r="951" spans="1:10">
      <c r="A951" s="4">
        <v>45063</v>
      </c>
      <c r="B951" t="s">
        <v>3681</v>
      </c>
      <c r="C951" t="s">
        <v>3664</v>
      </c>
      <c r="D951" t="s">
        <v>2548</v>
      </c>
      <c r="E951" t="s">
        <v>1535</v>
      </c>
      <c r="F951" t="s">
        <v>1517</v>
      </c>
      <c r="G951" t="s">
        <v>3672</v>
      </c>
      <c r="H951">
        <v>6</v>
      </c>
      <c r="I951">
        <v>4072.51</v>
      </c>
      <c r="J951">
        <v>24435.06</v>
      </c>
    </row>
    <row r="952" spans="1:10">
      <c r="A952" s="4">
        <v>44997</v>
      </c>
      <c r="B952" t="s">
        <v>3684</v>
      </c>
      <c r="C952" t="s">
        <v>3654</v>
      </c>
      <c r="D952" t="s">
        <v>2549</v>
      </c>
      <c r="E952" t="s">
        <v>1535</v>
      </c>
      <c r="F952" t="s">
        <v>3657</v>
      </c>
      <c r="G952" t="s">
        <v>3694</v>
      </c>
      <c r="H952">
        <v>2</v>
      </c>
      <c r="I952">
        <v>1269.81</v>
      </c>
      <c r="J952">
        <v>2539.62</v>
      </c>
    </row>
    <row r="953" spans="1:10">
      <c r="A953" s="4">
        <v>44948</v>
      </c>
      <c r="B953" t="s">
        <v>3688</v>
      </c>
      <c r="C953" t="s">
        <v>3664</v>
      </c>
      <c r="D953" t="s">
        <v>2548</v>
      </c>
      <c r="E953" t="s">
        <v>1535</v>
      </c>
      <c r="F953" t="s">
        <v>3657</v>
      </c>
      <c r="G953" t="s">
        <v>3692</v>
      </c>
      <c r="H953">
        <v>13</v>
      </c>
      <c r="I953">
        <v>3071.93</v>
      </c>
      <c r="J953">
        <v>39935.089999999997</v>
      </c>
    </row>
    <row r="954" spans="1:10">
      <c r="A954" s="4">
        <v>44999</v>
      </c>
      <c r="B954" t="s">
        <v>3679</v>
      </c>
      <c r="C954" t="s">
        <v>3663</v>
      </c>
      <c r="D954" t="s">
        <v>2548</v>
      </c>
      <c r="E954" t="s">
        <v>1535</v>
      </c>
      <c r="F954" t="s">
        <v>1516</v>
      </c>
      <c r="G954" t="s">
        <v>3677</v>
      </c>
      <c r="H954">
        <v>5</v>
      </c>
      <c r="I954">
        <v>4686.67</v>
      </c>
      <c r="J954">
        <v>23433.35</v>
      </c>
    </row>
    <row r="955" spans="1:10">
      <c r="A955" s="4">
        <v>45228</v>
      </c>
      <c r="B955" t="s">
        <v>3691</v>
      </c>
      <c r="C955" t="s">
        <v>3660</v>
      </c>
      <c r="D955" t="s">
        <v>2549</v>
      </c>
      <c r="E955" t="s">
        <v>1535</v>
      </c>
      <c r="F955" t="s">
        <v>1517</v>
      </c>
      <c r="G955" t="s">
        <v>3699</v>
      </c>
      <c r="H955">
        <v>5</v>
      </c>
      <c r="I955">
        <v>4504.17</v>
      </c>
      <c r="J955">
        <v>22520.85</v>
      </c>
    </row>
    <row r="956" spans="1:10">
      <c r="A956" s="4">
        <v>45126</v>
      </c>
      <c r="B956" t="s">
        <v>3673</v>
      </c>
      <c r="C956" t="s">
        <v>3667</v>
      </c>
      <c r="D956" t="s">
        <v>2552</v>
      </c>
      <c r="E956" t="s">
        <v>1537</v>
      </c>
      <c r="F956" t="s">
        <v>1517</v>
      </c>
      <c r="G956" t="s">
        <v>3672</v>
      </c>
      <c r="H956">
        <v>3</v>
      </c>
      <c r="I956">
        <v>559.70000000000005</v>
      </c>
      <c r="J956">
        <v>1679.1</v>
      </c>
    </row>
    <row r="957" spans="1:10">
      <c r="A957" s="4">
        <v>45212</v>
      </c>
      <c r="B957" t="s">
        <v>3676</v>
      </c>
      <c r="C957" t="s">
        <v>3655</v>
      </c>
      <c r="D957" t="s">
        <v>2552</v>
      </c>
      <c r="E957" t="s">
        <v>1537</v>
      </c>
      <c r="F957" t="s">
        <v>3657</v>
      </c>
      <c r="G957" t="s">
        <v>3690</v>
      </c>
      <c r="H957">
        <v>17</v>
      </c>
      <c r="I957">
        <v>1975.71</v>
      </c>
      <c r="J957">
        <v>33587.07</v>
      </c>
    </row>
    <row r="958" spans="1:10">
      <c r="A958" s="4">
        <v>45239</v>
      </c>
      <c r="B958" t="s">
        <v>3679</v>
      </c>
      <c r="C958" t="s">
        <v>3668</v>
      </c>
      <c r="D958" t="s">
        <v>2551</v>
      </c>
      <c r="E958" t="s">
        <v>1538</v>
      </c>
      <c r="F958" t="s">
        <v>1517</v>
      </c>
      <c r="G958" t="s">
        <v>3672</v>
      </c>
      <c r="H958">
        <v>8</v>
      </c>
      <c r="I958">
        <v>4175.5600000000004</v>
      </c>
      <c r="J958">
        <v>33404.480000000003</v>
      </c>
    </row>
    <row r="959" spans="1:10">
      <c r="A959" s="4">
        <v>44956</v>
      </c>
      <c r="B959" t="s">
        <v>3673</v>
      </c>
      <c r="C959" t="s">
        <v>3655</v>
      </c>
      <c r="D959" t="s">
        <v>2552</v>
      </c>
      <c r="E959" t="s">
        <v>1537</v>
      </c>
      <c r="F959" t="s">
        <v>1514</v>
      </c>
      <c r="G959" t="s">
        <v>3697</v>
      </c>
      <c r="H959">
        <v>14</v>
      </c>
      <c r="I959">
        <v>2535.08</v>
      </c>
      <c r="J959">
        <v>35491.120000000003</v>
      </c>
    </row>
    <row r="960" spans="1:10">
      <c r="A960" s="4">
        <v>45111</v>
      </c>
      <c r="B960" t="s">
        <v>3681</v>
      </c>
      <c r="C960" t="s">
        <v>3656</v>
      </c>
      <c r="D960" t="s">
        <v>2550</v>
      </c>
      <c r="E960" t="s">
        <v>1537</v>
      </c>
      <c r="F960" t="s">
        <v>1514</v>
      </c>
      <c r="G960" t="s">
        <v>3682</v>
      </c>
      <c r="H960">
        <v>14</v>
      </c>
      <c r="I960">
        <v>2161.65</v>
      </c>
      <c r="J960">
        <v>30263.1</v>
      </c>
    </row>
    <row r="961" spans="1:10">
      <c r="A961" s="4">
        <v>45205</v>
      </c>
      <c r="B961" t="s">
        <v>3681</v>
      </c>
      <c r="C961" t="s">
        <v>3668</v>
      </c>
      <c r="D961" t="s">
        <v>2551</v>
      </c>
      <c r="E961" t="s">
        <v>1538</v>
      </c>
      <c r="F961" t="s">
        <v>1514</v>
      </c>
      <c r="G961" t="s">
        <v>3698</v>
      </c>
      <c r="H961">
        <v>11</v>
      </c>
      <c r="I961">
        <v>3424.45</v>
      </c>
      <c r="J961">
        <v>37668.949999999997</v>
      </c>
    </row>
    <row r="962" spans="1:10">
      <c r="A962" s="4">
        <v>45162</v>
      </c>
      <c r="B962" t="s">
        <v>3684</v>
      </c>
      <c r="C962" t="s">
        <v>3664</v>
      </c>
      <c r="D962" t="s">
        <v>2548</v>
      </c>
      <c r="E962" t="s">
        <v>1535</v>
      </c>
      <c r="F962" t="s">
        <v>3657</v>
      </c>
      <c r="G962" t="s">
        <v>3678</v>
      </c>
      <c r="H962">
        <v>10</v>
      </c>
      <c r="I962">
        <v>1167.21</v>
      </c>
      <c r="J962">
        <v>11672.1</v>
      </c>
    </row>
    <row r="963" spans="1:10">
      <c r="A963" s="4">
        <v>44983</v>
      </c>
      <c r="B963" t="s">
        <v>3688</v>
      </c>
      <c r="C963" t="s">
        <v>3664</v>
      </c>
      <c r="D963" t="s">
        <v>2548</v>
      </c>
      <c r="E963" t="s">
        <v>1535</v>
      </c>
      <c r="F963" t="s">
        <v>1518</v>
      </c>
      <c r="G963" t="s">
        <v>3674</v>
      </c>
      <c r="H963">
        <v>7</v>
      </c>
      <c r="I963">
        <v>500.63</v>
      </c>
      <c r="J963">
        <v>3504.41</v>
      </c>
    </row>
    <row r="964" spans="1:10">
      <c r="A964" s="4">
        <v>45234</v>
      </c>
      <c r="B964" t="s">
        <v>3683</v>
      </c>
      <c r="C964" t="s">
        <v>3669</v>
      </c>
      <c r="D964" t="s">
        <v>2551</v>
      </c>
      <c r="E964" t="s">
        <v>1538</v>
      </c>
      <c r="F964" t="s">
        <v>1517</v>
      </c>
      <c r="G964" t="s">
        <v>3701</v>
      </c>
      <c r="H964">
        <v>10</v>
      </c>
      <c r="I964">
        <v>1050.8399999999999</v>
      </c>
      <c r="J964">
        <v>10508.4</v>
      </c>
    </row>
    <row r="965" spans="1:10">
      <c r="A965" s="4">
        <v>45168</v>
      </c>
      <c r="B965" t="s">
        <v>3691</v>
      </c>
      <c r="C965" t="s">
        <v>3662</v>
      </c>
      <c r="D965" t="s">
        <v>2552</v>
      </c>
      <c r="E965" t="s">
        <v>1537</v>
      </c>
      <c r="F965" t="s">
        <v>1517</v>
      </c>
      <c r="G965" t="s">
        <v>3699</v>
      </c>
      <c r="H965">
        <v>14</v>
      </c>
      <c r="I965">
        <v>3726.3</v>
      </c>
      <c r="J965">
        <v>52168.2</v>
      </c>
    </row>
    <row r="966" spans="1:10">
      <c r="A966" s="4">
        <v>45214</v>
      </c>
      <c r="B966" t="s">
        <v>3679</v>
      </c>
      <c r="C966" t="s">
        <v>3656</v>
      </c>
      <c r="D966" t="s">
        <v>2550</v>
      </c>
      <c r="E966" t="s">
        <v>1537</v>
      </c>
      <c r="F966" t="s">
        <v>1516</v>
      </c>
      <c r="G966" t="s">
        <v>3686</v>
      </c>
      <c r="H966">
        <v>10</v>
      </c>
      <c r="I966">
        <v>651.83000000000004</v>
      </c>
      <c r="J966">
        <v>6518.3</v>
      </c>
    </row>
    <row r="967" spans="1:10">
      <c r="A967" s="4">
        <v>45105</v>
      </c>
      <c r="B967" t="s">
        <v>3684</v>
      </c>
      <c r="C967" t="s">
        <v>3665</v>
      </c>
      <c r="D967" t="s">
        <v>2549</v>
      </c>
      <c r="E967" t="s">
        <v>1535</v>
      </c>
      <c r="F967" t="s">
        <v>1517</v>
      </c>
      <c r="G967" t="s">
        <v>3701</v>
      </c>
      <c r="H967">
        <v>4</v>
      </c>
      <c r="I967">
        <v>1077.23</v>
      </c>
      <c r="J967">
        <v>4308.92</v>
      </c>
    </row>
    <row r="968" spans="1:10">
      <c r="A968" s="4">
        <v>45090</v>
      </c>
      <c r="B968" t="s">
        <v>3691</v>
      </c>
      <c r="C968" t="s">
        <v>3669</v>
      </c>
      <c r="D968" t="s">
        <v>2551</v>
      </c>
      <c r="E968" t="s">
        <v>1538</v>
      </c>
      <c r="F968" t="s">
        <v>1514</v>
      </c>
      <c r="G968" t="s">
        <v>3685</v>
      </c>
      <c r="H968">
        <v>15</v>
      </c>
      <c r="I968">
        <v>4554.78</v>
      </c>
      <c r="J968">
        <v>68321.7</v>
      </c>
    </row>
    <row r="969" spans="1:10">
      <c r="A969" s="4">
        <v>45072</v>
      </c>
      <c r="B969" t="s">
        <v>3681</v>
      </c>
      <c r="C969" t="s">
        <v>3666</v>
      </c>
      <c r="D969" t="s">
        <v>2548</v>
      </c>
      <c r="E969" t="s">
        <v>1535</v>
      </c>
      <c r="F969" t="s">
        <v>1518</v>
      </c>
      <c r="G969" t="s">
        <v>3696</v>
      </c>
      <c r="H969">
        <v>19</v>
      </c>
      <c r="I969">
        <v>1003.13</v>
      </c>
      <c r="J969">
        <v>19059.47</v>
      </c>
    </row>
    <row r="970" spans="1:10">
      <c r="A970" s="4">
        <v>45133</v>
      </c>
      <c r="B970" t="s">
        <v>3673</v>
      </c>
      <c r="C970" t="s">
        <v>3662</v>
      </c>
      <c r="D970" t="s">
        <v>2552</v>
      </c>
      <c r="E970" t="s">
        <v>1537</v>
      </c>
      <c r="F970" t="s">
        <v>3657</v>
      </c>
      <c r="G970" t="s">
        <v>3690</v>
      </c>
      <c r="H970">
        <v>7</v>
      </c>
      <c r="I970">
        <v>3168.77</v>
      </c>
      <c r="J970">
        <v>22181.39</v>
      </c>
    </row>
    <row r="971" spans="1:10">
      <c r="A971" s="4">
        <v>44977</v>
      </c>
      <c r="B971" t="s">
        <v>3681</v>
      </c>
      <c r="C971" t="s">
        <v>3669</v>
      </c>
      <c r="D971" t="s">
        <v>2551</v>
      </c>
      <c r="E971" t="s">
        <v>1538</v>
      </c>
      <c r="F971" t="s">
        <v>1518</v>
      </c>
      <c r="G971" t="s">
        <v>3680</v>
      </c>
      <c r="H971">
        <v>19</v>
      </c>
      <c r="I971">
        <v>4528.95</v>
      </c>
      <c r="J971">
        <v>86050.05</v>
      </c>
    </row>
    <row r="972" spans="1:10">
      <c r="A972" s="4">
        <v>45164</v>
      </c>
      <c r="B972" t="s">
        <v>3676</v>
      </c>
      <c r="C972" t="s">
        <v>3662</v>
      </c>
      <c r="D972" t="s">
        <v>2552</v>
      </c>
      <c r="E972" t="s">
        <v>1537</v>
      </c>
      <c r="F972" t="s">
        <v>1514</v>
      </c>
      <c r="G972" t="s">
        <v>3685</v>
      </c>
      <c r="H972">
        <v>5</v>
      </c>
      <c r="I972">
        <v>2480.84</v>
      </c>
      <c r="J972">
        <v>12404.2</v>
      </c>
    </row>
    <row r="973" spans="1:10">
      <c r="A973" s="4">
        <v>45051</v>
      </c>
      <c r="B973" t="s">
        <v>3688</v>
      </c>
      <c r="C973" t="s">
        <v>3659</v>
      </c>
      <c r="D973" t="s">
        <v>2551</v>
      </c>
      <c r="E973" t="s">
        <v>1538</v>
      </c>
      <c r="F973" t="s">
        <v>1516</v>
      </c>
      <c r="G973" t="s">
        <v>3695</v>
      </c>
      <c r="H973">
        <v>11</v>
      </c>
      <c r="I973">
        <v>4740.79</v>
      </c>
      <c r="J973">
        <v>52148.69</v>
      </c>
    </row>
    <row r="974" spans="1:10">
      <c r="A974" s="4">
        <v>45184</v>
      </c>
      <c r="B974" t="s">
        <v>3683</v>
      </c>
      <c r="C974" t="s">
        <v>3659</v>
      </c>
      <c r="D974" t="s">
        <v>2551</v>
      </c>
      <c r="E974" t="s">
        <v>1538</v>
      </c>
      <c r="F974" t="s">
        <v>3657</v>
      </c>
      <c r="G974" t="s">
        <v>3678</v>
      </c>
      <c r="H974">
        <v>16</v>
      </c>
      <c r="I974">
        <v>2687.77</v>
      </c>
      <c r="J974">
        <v>43004.32</v>
      </c>
    </row>
    <row r="975" spans="1:10">
      <c r="A975" s="4">
        <v>45142</v>
      </c>
      <c r="B975" t="s">
        <v>3681</v>
      </c>
      <c r="C975" t="s">
        <v>3658</v>
      </c>
      <c r="D975" t="s">
        <v>2550</v>
      </c>
      <c r="E975" t="s">
        <v>1537</v>
      </c>
      <c r="F975" t="s">
        <v>3657</v>
      </c>
      <c r="G975" t="s">
        <v>3690</v>
      </c>
      <c r="H975">
        <v>15</v>
      </c>
      <c r="I975">
        <v>2472.8000000000002</v>
      </c>
      <c r="J975">
        <v>37092</v>
      </c>
    </row>
    <row r="976" spans="1:10">
      <c r="A976" s="4">
        <v>44972</v>
      </c>
      <c r="B976" t="s">
        <v>3691</v>
      </c>
      <c r="C976" t="s">
        <v>3659</v>
      </c>
      <c r="D976" t="s">
        <v>2551</v>
      </c>
      <c r="E976" t="s">
        <v>1538</v>
      </c>
      <c r="F976" t="s">
        <v>1517</v>
      </c>
      <c r="G976" t="s">
        <v>3672</v>
      </c>
      <c r="H976">
        <v>3</v>
      </c>
      <c r="I976">
        <v>3814.12</v>
      </c>
      <c r="J976">
        <v>11442.36</v>
      </c>
    </row>
    <row r="977" spans="1:10">
      <c r="A977" s="4">
        <v>44978</v>
      </c>
      <c r="B977" t="s">
        <v>3691</v>
      </c>
      <c r="C977" t="s">
        <v>3663</v>
      </c>
      <c r="D977" t="s">
        <v>2548</v>
      </c>
      <c r="E977" t="s">
        <v>1535</v>
      </c>
      <c r="F977" t="s">
        <v>1517</v>
      </c>
      <c r="G977" t="s">
        <v>3693</v>
      </c>
      <c r="H977">
        <v>1</v>
      </c>
      <c r="I977">
        <v>2333.7800000000002</v>
      </c>
      <c r="J977">
        <v>2333.7800000000002</v>
      </c>
    </row>
    <row r="978" spans="1:10">
      <c r="A978" s="4">
        <v>44953</v>
      </c>
      <c r="B978" t="s">
        <v>3679</v>
      </c>
      <c r="C978" t="s">
        <v>3660</v>
      </c>
      <c r="D978" t="s">
        <v>2549</v>
      </c>
      <c r="E978" t="s">
        <v>1535</v>
      </c>
      <c r="F978" t="s">
        <v>3657</v>
      </c>
      <c r="G978" t="s">
        <v>3678</v>
      </c>
      <c r="H978">
        <v>10</v>
      </c>
      <c r="I978">
        <v>2628.56</v>
      </c>
      <c r="J978">
        <v>26285.599999999999</v>
      </c>
    </row>
    <row r="979" spans="1:10">
      <c r="A979" s="4">
        <v>45199</v>
      </c>
      <c r="B979" t="s">
        <v>3676</v>
      </c>
      <c r="C979" t="s">
        <v>3658</v>
      </c>
      <c r="D979" t="s">
        <v>2550</v>
      </c>
      <c r="E979" t="s">
        <v>1537</v>
      </c>
      <c r="F979" t="s">
        <v>1514</v>
      </c>
      <c r="G979" t="s">
        <v>3682</v>
      </c>
      <c r="H979">
        <v>16</v>
      </c>
      <c r="I979">
        <v>284.02</v>
      </c>
      <c r="J979">
        <v>4544.32</v>
      </c>
    </row>
    <row r="980" spans="1:10">
      <c r="A980" s="4">
        <v>45167</v>
      </c>
      <c r="B980" t="s">
        <v>3684</v>
      </c>
      <c r="C980" t="s">
        <v>3667</v>
      </c>
      <c r="D980" t="s">
        <v>2552</v>
      </c>
      <c r="E980" t="s">
        <v>1537</v>
      </c>
      <c r="F980" t="s">
        <v>3657</v>
      </c>
      <c r="G980" t="s">
        <v>3690</v>
      </c>
      <c r="H980">
        <v>8</v>
      </c>
      <c r="I980">
        <v>1011.67</v>
      </c>
      <c r="J980">
        <v>8093.36</v>
      </c>
    </row>
    <row r="981" spans="1:10">
      <c r="A981" s="4">
        <v>44993</v>
      </c>
      <c r="B981" t="s">
        <v>3688</v>
      </c>
      <c r="C981" t="s">
        <v>3668</v>
      </c>
      <c r="D981" t="s">
        <v>2551</v>
      </c>
      <c r="E981" t="s">
        <v>1538</v>
      </c>
      <c r="F981" t="s">
        <v>3657</v>
      </c>
      <c r="G981" t="s">
        <v>3692</v>
      </c>
      <c r="H981">
        <v>6</v>
      </c>
      <c r="I981">
        <v>3918.07</v>
      </c>
      <c r="J981">
        <v>23508.42</v>
      </c>
    </row>
    <row r="982" spans="1:10">
      <c r="A982" s="4">
        <v>45253</v>
      </c>
      <c r="B982" t="s">
        <v>3684</v>
      </c>
      <c r="C982" t="s">
        <v>3655</v>
      </c>
      <c r="D982" t="s">
        <v>2552</v>
      </c>
      <c r="E982" t="s">
        <v>1537</v>
      </c>
      <c r="F982" t="s">
        <v>1516</v>
      </c>
      <c r="G982" t="s">
        <v>3687</v>
      </c>
      <c r="H982">
        <v>2</v>
      </c>
      <c r="I982">
        <v>3313.63</v>
      </c>
      <c r="J982">
        <v>6627.26</v>
      </c>
    </row>
    <row r="983" spans="1:10">
      <c r="A983" s="4">
        <v>44980</v>
      </c>
      <c r="B983" t="s">
        <v>3689</v>
      </c>
      <c r="C983" t="s">
        <v>3661</v>
      </c>
      <c r="D983" t="s">
        <v>2550</v>
      </c>
      <c r="E983" t="s">
        <v>1537</v>
      </c>
      <c r="F983" t="s">
        <v>1516</v>
      </c>
      <c r="G983" t="s">
        <v>3686</v>
      </c>
      <c r="H983">
        <v>18</v>
      </c>
      <c r="I983">
        <v>809.24</v>
      </c>
      <c r="J983">
        <v>14566.32</v>
      </c>
    </row>
    <row r="984" spans="1:10">
      <c r="A984" s="4">
        <v>45034</v>
      </c>
      <c r="B984" t="s">
        <v>3676</v>
      </c>
      <c r="C984" t="s">
        <v>3669</v>
      </c>
      <c r="D984" t="s">
        <v>2551</v>
      </c>
      <c r="E984" t="s">
        <v>1538</v>
      </c>
      <c r="F984" t="s">
        <v>3657</v>
      </c>
      <c r="G984" t="s">
        <v>3694</v>
      </c>
      <c r="H984">
        <v>2</v>
      </c>
      <c r="I984">
        <v>2338.61</v>
      </c>
      <c r="J984">
        <v>4677.22</v>
      </c>
    </row>
    <row r="985" spans="1:10">
      <c r="A985" s="4">
        <v>45010</v>
      </c>
      <c r="B985" t="s">
        <v>3691</v>
      </c>
      <c r="C985" t="s">
        <v>3662</v>
      </c>
      <c r="D985" t="s">
        <v>2552</v>
      </c>
      <c r="E985" t="s">
        <v>1537</v>
      </c>
      <c r="F985" t="s">
        <v>3657</v>
      </c>
      <c r="G985" t="s">
        <v>3694</v>
      </c>
      <c r="H985">
        <v>18</v>
      </c>
      <c r="I985">
        <v>2773.93</v>
      </c>
      <c r="J985">
        <v>49930.74</v>
      </c>
    </row>
    <row r="986" spans="1:10">
      <c r="A986" s="4">
        <v>44994</v>
      </c>
      <c r="B986" t="s">
        <v>3679</v>
      </c>
      <c r="C986" t="s">
        <v>3665</v>
      </c>
      <c r="D986" t="s">
        <v>2549</v>
      </c>
      <c r="E986" t="s">
        <v>1535</v>
      </c>
      <c r="F986" t="s">
        <v>3657</v>
      </c>
      <c r="G986" t="s">
        <v>3692</v>
      </c>
      <c r="H986">
        <v>15</v>
      </c>
      <c r="I986">
        <v>2540.06</v>
      </c>
      <c r="J986">
        <v>38100.9</v>
      </c>
    </row>
    <row r="987" spans="1:10">
      <c r="A987" s="4">
        <v>45072</v>
      </c>
      <c r="B987" t="s">
        <v>3673</v>
      </c>
      <c r="C987" t="s">
        <v>3668</v>
      </c>
      <c r="D987" t="s">
        <v>2551</v>
      </c>
      <c r="E987" t="s">
        <v>1538</v>
      </c>
      <c r="F987" t="s">
        <v>1516</v>
      </c>
      <c r="G987" t="s">
        <v>3677</v>
      </c>
      <c r="H987">
        <v>4</v>
      </c>
      <c r="I987">
        <v>1178.71</v>
      </c>
      <c r="J987">
        <v>4714.84</v>
      </c>
    </row>
    <row r="988" spans="1:10">
      <c r="A988" s="4">
        <v>45282</v>
      </c>
      <c r="B988" t="s">
        <v>3688</v>
      </c>
      <c r="C988" t="s">
        <v>3661</v>
      </c>
      <c r="D988" t="s">
        <v>2550</v>
      </c>
      <c r="E988" t="s">
        <v>1537</v>
      </c>
      <c r="F988" t="s">
        <v>3657</v>
      </c>
      <c r="G988" t="s">
        <v>3678</v>
      </c>
      <c r="H988">
        <v>4</v>
      </c>
      <c r="I988">
        <v>4724.33</v>
      </c>
      <c r="J988">
        <v>18897.32</v>
      </c>
    </row>
    <row r="989" spans="1:10">
      <c r="A989" s="4">
        <v>45159</v>
      </c>
      <c r="B989" t="s">
        <v>3688</v>
      </c>
      <c r="C989" t="s">
        <v>3659</v>
      </c>
      <c r="D989" t="s">
        <v>2551</v>
      </c>
      <c r="E989" t="s">
        <v>1538</v>
      </c>
      <c r="F989" t="s">
        <v>1514</v>
      </c>
      <c r="G989" t="s">
        <v>3697</v>
      </c>
      <c r="H989">
        <v>7</v>
      </c>
      <c r="I989">
        <v>3481</v>
      </c>
      <c r="J989">
        <v>24367</v>
      </c>
    </row>
    <row r="990" spans="1:10">
      <c r="A990" s="4">
        <v>45215</v>
      </c>
      <c r="B990" t="s">
        <v>3691</v>
      </c>
      <c r="C990" t="s">
        <v>3663</v>
      </c>
      <c r="D990" t="s">
        <v>2548</v>
      </c>
      <c r="E990" t="s">
        <v>1535</v>
      </c>
      <c r="F990" t="s">
        <v>1517</v>
      </c>
      <c r="G990" t="s">
        <v>3672</v>
      </c>
      <c r="H990">
        <v>16</v>
      </c>
      <c r="I990">
        <v>4608.55</v>
      </c>
      <c r="J990">
        <v>73736.800000000003</v>
      </c>
    </row>
    <row r="991" spans="1:10">
      <c r="A991" s="4">
        <v>45227</v>
      </c>
      <c r="B991" t="s">
        <v>3689</v>
      </c>
      <c r="C991" t="s">
        <v>3665</v>
      </c>
      <c r="D991" t="s">
        <v>2549</v>
      </c>
      <c r="E991" t="s">
        <v>1535</v>
      </c>
      <c r="F991" t="s">
        <v>1514</v>
      </c>
      <c r="G991" t="s">
        <v>3698</v>
      </c>
      <c r="H991">
        <v>10</v>
      </c>
      <c r="I991">
        <v>2336.88</v>
      </c>
      <c r="J991">
        <v>23368.799999999999</v>
      </c>
    </row>
    <row r="992" spans="1:10">
      <c r="A992" s="4">
        <v>45254</v>
      </c>
      <c r="B992" t="s">
        <v>3673</v>
      </c>
      <c r="C992" t="s">
        <v>3656</v>
      </c>
      <c r="D992" t="s">
        <v>2550</v>
      </c>
      <c r="E992" t="s">
        <v>1537</v>
      </c>
      <c r="F992" t="s">
        <v>1518</v>
      </c>
      <c r="G992" t="s">
        <v>3700</v>
      </c>
      <c r="H992">
        <v>1</v>
      </c>
      <c r="I992">
        <v>2993.55</v>
      </c>
      <c r="J992">
        <v>2993.55</v>
      </c>
    </row>
    <row r="993" spans="1:10">
      <c r="A993" s="4">
        <v>45216</v>
      </c>
      <c r="B993" t="s">
        <v>3684</v>
      </c>
      <c r="C993" t="s">
        <v>3658</v>
      </c>
      <c r="D993" t="s">
        <v>2550</v>
      </c>
      <c r="E993" t="s">
        <v>1537</v>
      </c>
      <c r="F993" t="s">
        <v>1516</v>
      </c>
      <c r="G993" t="s">
        <v>3687</v>
      </c>
      <c r="H993">
        <v>19</v>
      </c>
      <c r="I993">
        <v>4080.77</v>
      </c>
      <c r="J993">
        <v>77534.63</v>
      </c>
    </row>
    <row r="994" spans="1:10">
      <c r="A994" s="4">
        <v>45151</v>
      </c>
      <c r="B994" t="s">
        <v>3675</v>
      </c>
      <c r="C994" t="s">
        <v>3662</v>
      </c>
      <c r="D994" t="s">
        <v>2552</v>
      </c>
      <c r="E994" t="s">
        <v>1537</v>
      </c>
      <c r="F994" t="s">
        <v>1516</v>
      </c>
      <c r="G994" t="s">
        <v>3695</v>
      </c>
      <c r="H994">
        <v>4</v>
      </c>
      <c r="I994">
        <v>3659.61</v>
      </c>
      <c r="J994">
        <v>14638.44</v>
      </c>
    </row>
    <row r="995" spans="1:10">
      <c r="A995" s="4">
        <v>44964</v>
      </c>
      <c r="B995" t="s">
        <v>3681</v>
      </c>
      <c r="C995" t="s">
        <v>3659</v>
      </c>
      <c r="D995" t="s">
        <v>2551</v>
      </c>
      <c r="E995" t="s">
        <v>1538</v>
      </c>
      <c r="F995" t="s">
        <v>1516</v>
      </c>
      <c r="G995" t="s">
        <v>3695</v>
      </c>
      <c r="H995">
        <v>12</v>
      </c>
      <c r="I995">
        <v>1819.46</v>
      </c>
      <c r="J995">
        <v>21833.52</v>
      </c>
    </row>
    <row r="996" spans="1:10">
      <c r="A996" s="4">
        <v>45197</v>
      </c>
      <c r="B996" t="s">
        <v>3679</v>
      </c>
      <c r="C996" t="s">
        <v>3656</v>
      </c>
      <c r="D996" t="s">
        <v>2550</v>
      </c>
      <c r="E996" t="s">
        <v>1537</v>
      </c>
      <c r="F996" t="s">
        <v>1514</v>
      </c>
      <c r="G996" t="s">
        <v>3697</v>
      </c>
      <c r="H996">
        <v>13</v>
      </c>
      <c r="I996">
        <v>3520.87</v>
      </c>
      <c r="J996">
        <v>45771.31</v>
      </c>
    </row>
    <row r="997" spans="1:10">
      <c r="A997" s="4">
        <v>44979</v>
      </c>
      <c r="B997" t="s">
        <v>3684</v>
      </c>
      <c r="C997" t="s">
        <v>3661</v>
      </c>
      <c r="D997" t="s">
        <v>2550</v>
      </c>
      <c r="E997" t="s">
        <v>1537</v>
      </c>
      <c r="F997" t="s">
        <v>3657</v>
      </c>
      <c r="G997" t="s">
        <v>3694</v>
      </c>
      <c r="H997">
        <v>14</v>
      </c>
      <c r="I997">
        <v>4532.88</v>
      </c>
      <c r="J997">
        <v>63460.32</v>
      </c>
    </row>
    <row r="998" spans="1:10">
      <c r="A998" s="4">
        <v>44952</v>
      </c>
      <c r="B998" t="s">
        <v>3681</v>
      </c>
      <c r="C998" t="s">
        <v>3660</v>
      </c>
      <c r="D998" t="s">
        <v>2549</v>
      </c>
      <c r="E998" t="s">
        <v>1535</v>
      </c>
      <c r="F998" t="s">
        <v>1517</v>
      </c>
      <c r="G998" t="s">
        <v>3693</v>
      </c>
      <c r="H998">
        <v>6</v>
      </c>
      <c r="I998">
        <v>1709.52</v>
      </c>
      <c r="J998">
        <v>10257.120000000001</v>
      </c>
    </row>
    <row r="999" spans="1:10">
      <c r="A999" s="4">
        <v>45259</v>
      </c>
      <c r="B999" t="s">
        <v>3691</v>
      </c>
      <c r="C999" t="s">
        <v>3667</v>
      </c>
      <c r="D999" t="s">
        <v>2552</v>
      </c>
      <c r="E999" t="s">
        <v>1537</v>
      </c>
      <c r="F999" t="s">
        <v>1516</v>
      </c>
      <c r="G999" t="s">
        <v>3677</v>
      </c>
      <c r="H999">
        <v>10</v>
      </c>
      <c r="I999">
        <v>3803.22</v>
      </c>
      <c r="J999">
        <v>38032.199999999997</v>
      </c>
    </row>
    <row r="1000" spans="1:10">
      <c r="A1000" s="4">
        <v>44928</v>
      </c>
      <c r="B1000" t="s">
        <v>3689</v>
      </c>
      <c r="C1000" t="s">
        <v>3667</v>
      </c>
      <c r="D1000" t="s">
        <v>2552</v>
      </c>
      <c r="E1000" t="s">
        <v>1537</v>
      </c>
      <c r="F1000" t="s">
        <v>1518</v>
      </c>
      <c r="G1000" t="s">
        <v>3700</v>
      </c>
      <c r="H1000">
        <v>15</v>
      </c>
      <c r="I1000">
        <v>1853</v>
      </c>
      <c r="J1000">
        <v>27795</v>
      </c>
    </row>
    <row r="1001" spans="1:10">
      <c r="A1001" s="4">
        <v>44961</v>
      </c>
      <c r="B1001" t="s">
        <v>3691</v>
      </c>
      <c r="C1001" t="s">
        <v>3654</v>
      </c>
      <c r="D1001" t="s">
        <v>2549</v>
      </c>
      <c r="E1001" t="s">
        <v>1535</v>
      </c>
      <c r="F1001" t="s">
        <v>1516</v>
      </c>
      <c r="G1001" t="s">
        <v>3686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/>
  <sheetData>
    <row r="1" spans="1:3">
      <c r="A1" s="1" t="s">
        <v>1519</v>
      </c>
      <c r="B1" s="1" t="s">
        <v>506</v>
      </c>
      <c r="C1" s="1" t="s">
        <v>1520</v>
      </c>
    </row>
    <row r="2" spans="1:3">
      <c r="A2" t="s">
        <v>1521</v>
      </c>
      <c r="B2">
        <v>155777</v>
      </c>
      <c r="C2">
        <v>20149</v>
      </c>
    </row>
    <row r="3" spans="1:3">
      <c r="A3" t="s">
        <v>1522</v>
      </c>
      <c r="B3">
        <v>98614</v>
      </c>
      <c r="C3">
        <v>15265</v>
      </c>
    </row>
    <row r="4" spans="1:3">
      <c r="A4" t="s">
        <v>1523</v>
      </c>
      <c r="B4">
        <v>175102</v>
      </c>
      <c r="C4">
        <v>45775</v>
      </c>
    </row>
    <row r="5" spans="1:3">
      <c r="A5" t="s">
        <v>1524</v>
      </c>
      <c r="B5">
        <v>96567</v>
      </c>
      <c r="C5">
        <v>30329</v>
      </c>
    </row>
    <row r="6" spans="1:3">
      <c r="A6" t="s">
        <v>1525</v>
      </c>
      <c r="B6">
        <v>83906</v>
      </c>
      <c r="C6">
        <v>25346</v>
      </c>
    </row>
    <row r="7" spans="1:3">
      <c r="A7" t="s">
        <v>1526</v>
      </c>
      <c r="B7">
        <v>71579</v>
      </c>
      <c r="C7">
        <v>33530</v>
      </c>
    </row>
    <row r="8" spans="1:3">
      <c r="A8" t="s">
        <v>1527</v>
      </c>
      <c r="B8">
        <v>177862</v>
      </c>
      <c r="C8">
        <v>31420</v>
      </c>
    </row>
    <row r="9" spans="1:3">
      <c r="A9" t="s">
        <v>1528</v>
      </c>
      <c r="B9">
        <v>74526</v>
      </c>
      <c r="C9">
        <v>33264</v>
      </c>
    </row>
    <row r="10" spans="1:3">
      <c r="A10" t="s">
        <v>1529</v>
      </c>
      <c r="B10">
        <v>79724</v>
      </c>
      <c r="C10">
        <v>44308</v>
      </c>
    </row>
    <row r="11" spans="1:3">
      <c r="A11" t="s">
        <v>1530</v>
      </c>
      <c r="B11">
        <v>165987</v>
      </c>
      <c r="C11">
        <v>30961</v>
      </c>
    </row>
    <row r="12" spans="1:3">
      <c r="A12" t="s">
        <v>1531</v>
      </c>
      <c r="B12">
        <v>189584</v>
      </c>
      <c r="C12">
        <v>12764</v>
      </c>
    </row>
    <row r="13" spans="1:3">
      <c r="A13" t="s">
        <v>1532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5"/>
  <sheetData>
    <row r="1" spans="1:4">
      <c r="A1" s="1" t="s">
        <v>1533</v>
      </c>
      <c r="B1" s="1" t="s">
        <v>511</v>
      </c>
      <c r="C1" s="1" t="s">
        <v>506</v>
      </c>
      <c r="D1" s="1" t="s">
        <v>1534</v>
      </c>
    </row>
    <row r="2" spans="1:4">
      <c r="A2" t="s">
        <v>1535</v>
      </c>
      <c r="B2" t="s">
        <v>1516</v>
      </c>
      <c r="C2">
        <v>2848</v>
      </c>
      <c r="D2" s="2">
        <v>44927</v>
      </c>
    </row>
    <row r="3" spans="1:4">
      <c r="A3" t="s">
        <v>1535</v>
      </c>
      <c r="B3" t="s">
        <v>1517</v>
      </c>
      <c r="C3">
        <v>1742</v>
      </c>
      <c r="D3" s="2">
        <v>44928</v>
      </c>
    </row>
    <row r="4" spans="1:4">
      <c r="A4" t="s">
        <v>1536</v>
      </c>
      <c r="B4" t="s">
        <v>1517</v>
      </c>
      <c r="C4">
        <v>6968</v>
      </c>
      <c r="D4" s="2">
        <v>44929</v>
      </c>
    </row>
    <row r="5" spans="1:4">
      <c r="A5" t="s">
        <v>1536</v>
      </c>
      <c r="B5" t="s">
        <v>1516</v>
      </c>
      <c r="C5">
        <v>2114</v>
      </c>
      <c r="D5" s="2">
        <v>44930</v>
      </c>
    </row>
    <row r="6" spans="1:4">
      <c r="A6" t="s">
        <v>1536</v>
      </c>
      <c r="B6" t="s">
        <v>1518</v>
      </c>
      <c r="C6">
        <v>7917</v>
      </c>
      <c r="D6" s="2">
        <v>44931</v>
      </c>
    </row>
    <row r="7" spans="1:4">
      <c r="A7" t="s">
        <v>1537</v>
      </c>
      <c r="B7" t="s">
        <v>1516</v>
      </c>
      <c r="C7">
        <v>3865</v>
      </c>
      <c r="D7" s="2">
        <v>44932</v>
      </c>
    </row>
    <row r="8" spans="1:4">
      <c r="A8" t="s">
        <v>1537</v>
      </c>
      <c r="B8" t="s">
        <v>1515</v>
      </c>
      <c r="C8">
        <v>4083</v>
      </c>
      <c r="D8" s="2">
        <v>44933</v>
      </c>
    </row>
    <row r="9" spans="1:4">
      <c r="A9" t="s">
        <v>1535</v>
      </c>
      <c r="B9" t="s">
        <v>1515</v>
      </c>
      <c r="C9">
        <v>6836</v>
      </c>
      <c r="D9" s="2">
        <v>44934</v>
      </c>
    </row>
    <row r="10" spans="1:4">
      <c r="A10" t="s">
        <v>1535</v>
      </c>
      <c r="B10" t="s">
        <v>1515</v>
      </c>
      <c r="C10">
        <v>9470</v>
      </c>
      <c r="D10" s="2">
        <v>44935</v>
      </c>
    </row>
    <row r="11" spans="1:4">
      <c r="A11" t="s">
        <v>1535</v>
      </c>
      <c r="B11" t="s">
        <v>1516</v>
      </c>
      <c r="C11">
        <v>7559</v>
      </c>
      <c r="D11" s="2">
        <v>44936</v>
      </c>
    </row>
    <row r="12" spans="1:4">
      <c r="A12" t="s">
        <v>1537</v>
      </c>
      <c r="B12" t="s">
        <v>1518</v>
      </c>
      <c r="C12">
        <v>6540</v>
      </c>
      <c r="D12" s="2">
        <v>44937</v>
      </c>
    </row>
    <row r="13" spans="1:4">
      <c r="A13" t="s">
        <v>1535</v>
      </c>
      <c r="B13" t="s">
        <v>1516</v>
      </c>
      <c r="C13">
        <v>1465</v>
      </c>
      <c r="D13" s="2">
        <v>44938</v>
      </c>
    </row>
    <row r="14" spans="1:4">
      <c r="A14" t="s">
        <v>1538</v>
      </c>
      <c r="B14" t="s">
        <v>1516</v>
      </c>
      <c r="C14">
        <v>9634</v>
      </c>
      <c r="D14" s="2">
        <v>44939</v>
      </c>
    </row>
    <row r="15" spans="1:4">
      <c r="A15" t="s">
        <v>1535</v>
      </c>
      <c r="B15" t="s">
        <v>1515</v>
      </c>
      <c r="C15">
        <v>6354</v>
      </c>
      <c r="D15" s="2">
        <v>44940</v>
      </c>
    </row>
    <row r="16" spans="1:4">
      <c r="A16" t="s">
        <v>1537</v>
      </c>
      <c r="B16" t="s">
        <v>1518</v>
      </c>
      <c r="C16">
        <v>5255</v>
      </c>
      <c r="D16" s="2">
        <v>44941</v>
      </c>
    </row>
    <row r="17" spans="1:4">
      <c r="A17" t="s">
        <v>1537</v>
      </c>
      <c r="B17" t="s">
        <v>1514</v>
      </c>
      <c r="C17">
        <v>1806</v>
      </c>
      <c r="D17" s="2">
        <v>44942</v>
      </c>
    </row>
    <row r="18" spans="1:4">
      <c r="A18" t="s">
        <v>1537</v>
      </c>
      <c r="B18" t="s">
        <v>1514</v>
      </c>
      <c r="C18">
        <v>8843</v>
      </c>
      <c r="D18" s="2">
        <v>44943</v>
      </c>
    </row>
    <row r="19" spans="1:4">
      <c r="A19" t="s">
        <v>1535</v>
      </c>
      <c r="B19" t="s">
        <v>1514</v>
      </c>
      <c r="C19">
        <v>1248</v>
      </c>
      <c r="D19" s="2">
        <v>44944</v>
      </c>
    </row>
    <row r="20" spans="1:4">
      <c r="A20" t="s">
        <v>1537</v>
      </c>
      <c r="B20" t="s">
        <v>1516</v>
      </c>
      <c r="C20">
        <v>9259</v>
      </c>
      <c r="D20" s="2">
        <v>44945</v>
      </c>
    </row>
    <row r="21" spans="1:4">
      <c r="A21" t="s">
        <v>1537</v>
      </c>
      <c r="B21" t="s">
        <v>1515</v>
      </c>
      <c r="C21">
        <v>6819</v>
      </c>
      <c r="D21" s="2">
        <v>44946</v>
      </c>
    </row>
    <row r="22" spans="1:4">
      <c r="A22" t="s">
        <v>1535</v>
      </c>
      <c r="B22" t="s">
        <v>1517</v>
      </c>
      <c r="C22">
        <v>5387</v>
      </c>
      <c r="D22" s="2">
        <v>44947</v>
      </c>
    </row>
    <row r="23" spans="1:4">
      <c r="A23" t="s">
        <v>1535</v>
      </c>
      <c r="B23" t="s">
        <v>1514</v>
      </c>
      <c r="C23">
        <v>1184</v>
      </c>
      <c r="D23" s="2">
        <v>44948</v>
      </c>
    </row>
    <row r="24" spans="1:4">
      <c r="A24" t="s">
        <v>1535</v>
      </c>
      <c r="B24" t="s">
        <v>1517</v>
      </c>
      <c r="C24">
        <v>3641</v>
      </c>
      <c r="D24" s="2">
        <v>44949</v>
      </c>
    </row>
    <row r="25" spans="1:4">
      <c r="A25" t="s">
        <v>1535</v>
      </c>
      <c r="B25" t="s">
        <v>1518</v>
      </c>
      <c r="C25">
        <v>1516</v>
      </c>
      <c r="D25" s="2">
        <v>44950</v>
      </c>
    </row>
    <row r="26" spans="1:4">
      <c r="A26" t="s">
        <v>1537</v>
      </c>
      <c r="B26" t="s">
        <v>1516</v>
      </c>
      <c r="C26">
        <v>2802</v>
      </c>
      <c r="D26" s="2">
        <v>44951</v>
      </c>
    </row>
    <row r="27" spans="1:4">
      <c r="A27" t="s">
        <v>1538</v>
      </c>
      <c r="B27" t="s">
        <v>1515</v>
      </c>
      <c r="C27">
        <v>4362</v>
      </c>
      <c r="D27" s="2">
        <v>44952</v>
      </c>
    </row>
    <row r="28" spans="1:4">
      <c r="A28" t="s">
        <v>1537</v>
      </c>
      <c r="B28" t="s">
        <v>1515</v>
      </c>
      <c r="C28">
        <v>8767</v>
      </c>
      <c r="D28" s="2">
        <v>44953</v>
      </c>
    </row>
    <row r="29" spans="1:4">
      <c r="A29" t="s">
        <v>1536</v>
      </c>
      <c r="B29" t="s">
        <v>1514</v>
      </c>
      <c r="C29">
        <v>376</v>
      </c>
      <c r="D29" s="2">
        <v>44954</v>
      </c>
    </row>
    <row r="30" spans="1:4">
      <c r="A30" t="s">
        <v>1536</v>
      </c>
      <c r="B30" t="s">
        <v>1516</v>
      </c>
      <c r="C30">
        <v>4031</v>
      </c>
      <c r="D30" s="2">
        <v>44955</v>
      </c>
    </row>
    <row r="31" spans="1:4">
      <c r="A31" t="s">
        <v>1537</v>
      </c>
      <c r="B31" t="s">
        <v>1516</v>
      </c>
      <c r="C31">
        <v>7014</v>
      </c>
      <c r="D31" s="2">
        <v>44956</v>
      </c>
    </row>
    <row r="32" spans="1:4">
      <c r="A32" t="s">
        <v>1536</v>
      </c>
      <c r="B32" t="s">
        <v>1516</v>
      </c>
      <c r="C32">
        <v>8317</v>
      </c>
      <c r="D32" s="2">
        <v>44957</v>
      </c>
    </row>
    <row r="33" spans="1:4">
      <c r="A33" t="s">
        <v>1535</v>
      </c>
      <c r="B33" t="s">
        <v>1516</v>
      </c>
      <c r="C33">
        <v>6313</v>
      </c>
      <c r="D33" s="2">
        <v>44958</v>
      </c>
    </row>
    <row r="34" spans="1:4">
      <c r="A34" t="s">
        <v>1538</v>
      </c>
      <c r="B34" t="s">
        <v>1516</v>
      </c>
      <c r="C34">
        <v>8628</v>
      </c>
      <c r="D34" s="2">
        <v>44959</v>
      </c>
    </row>
    <row r="35" spans="1:4">
      <c r="A35" t="s">
        <v>1537</v>
      </c>
      <c r="B35" t="s">
        <v>1516</v>
      </c>
      <c r="C35">
        <v>8534</v>
      </c>
      <c r="D35" s="2">
        <v>44960</v>
      </c>
    </row>
    <row r="36" spans="1:4">
      <c r="A36" t="s">
        <v>1535</v>
      </c>
      <c r="B36" t="s">
        <v>1515</v>
      </c>
      <c r="C36">
        <v>8419</v>
      </c>
      <c r="D36" s="2">
        <v>44961</v>
      </c>
    </row>
    <row r="37" spans="1:4">
      <c r="A37" t="s">
        <v>1537</v>
      </c>
      <c r="B37" t="s">
        <v>1516</v>
      </c>
      <c r="C37">
        <v>5381</v>
      </c>
      <c r="D37" s="2">
        <v>44962</v>
      </c>
    </row>
    <row r="38" spans="1:4">
      <c r="A38" t="s">
        <v>1536</v>
      </c>
      <c r="B38" t="s">
        <v>1514</v>
      </c>
      <c r="C38">
        <v>7693</v>
      </c>
      <c r="D38" s="2">
        <v>44963</v>
      </c>
    </row>
    <row r="39" spans="1:4">
      <c r="A39" t="s">
        <v>1537</v>
      </c>
      <c r="B39" t="s">
        <v>1517</v>
      </c>
      <c r="C39">
        <v>3281</v>
      </c>
      <c r="D39" s="2">
        <v>44964</v>
      </c>
    </row>
    <row r="40" spans="1:4">
      <c r="A40" t="s">
        <v>1538</v>
      </c>
      <c r="B40" t="s">
        <v>1515</v>
      </c>
      <c r="C40">
        <v>8614</v>
      </c>
      <c r="D40" s="2">
        <v>44965</v>
      </c>
    </row>
    <row r="41" spans="1:4">
      <c r="A41" t="s">
        <v>1536</v>
      </c>
      <c r="B41" t="s">
        <v>1514</v>
      </c>
      <c r="C41">
        <v>3024</v>
      </c>
      <c r="D41" s="2">
        <v>44966</v>
      </c>
    </row>
    <row r="42" spans="1:4">
      <c r="A42" t="s">
        <v>1536</v>
      </c>
      <c r="B42" t="s">
        <v>1517</v>
      </c>
      <c r="C42">
        <v>6719</v>
      </c>
      <c r="D42" s="2">
        <v>44967</v>
      </c>
    </row>
    <row r="43" spans="1:4">
      <c r="A43" t="s">
        <v>1538</v>
      </c>
      <c r="B43" t="s">
        <v>1516</v>
      </c>
      <c r="C43">
        <v>272</v>
      </c>
      <c r="D43" s="2">
        <v>44968</v>
      </c>
    </row>
    <row r="44" spans="1:4">
      <c r="A44" t="s">
        <v>1537</v>
      </c>
      <c r="B44" t="s">
        <v>1514</v>
      </c>
      <c r="C44">
        <v>5106</v>
      </c>
      <c r="D44" s="2">
        <v>44969</v>
      </c>
    </row>
    <row r="45" spans="1:4">
      <c r="A45" t="s">
        <v>1537</v>
      </c>
      <c r="B45" t="s">
        <v>1516</v>
      </c>
      <c r="C45">
        <v>3032</v>
      </c>
      <c r="D45" s="2">
        <v>44970</v>
      </c>
    </row>
    <row r="46" spans="1:4">
      <c r="A46" t="s">
        <v>1538</v>
      </c>
      <c r="B46" t="s">
        <v>1517</v>
      </c>
      <c r="C46">
        <v>8009</v>
      </c>
      <c r="D46" s="2">
        <v>44971</v>
      </c>
    </row>
    <row r="47" spans="1:4">
      <c r="A47" t="s">
        <v>1536</v>
      </c>
      <c r="B47" t="s">
        <v>1514</v>
      </c>
      <c r="C47">
        <v>6503</v>
      </c>
      <c r="D47" s="2">
        <v>44972</v>
      </c>
    </row>
    <row r="48" spans="1:4">
      <c r="A48" t="s">
        <v>1535</v>
      </c>
      <c r="B48" t="s">
        <v>1518</v>
      </c>
      <c r="C48">
        <v>1224</v>
      </c>
      <c r="D48" s="2">
        <v>44973</v>
      </c>
    </row>
    <row r="49" spans="1:4">
      <c r="A49" t="s">
        <v>1538</v>
      </c>
      <c r="B49" t="s">
        <v>1516</v>
      </c>
      <c r="C49">
        <v>5261</v>
      </c>
      <c r="D49" s="2">
        <v>44974</v>
      </c>
    </row>
    <row r="50" spans="1:4">
      <c r="A50" t="s">
        <v>1538</v>
      </c>
      <c r="B50" t="s">
        <v>1515</v>
      </c>
      <c r="C50">
        <v>2178</v>
      </c>
      <c r="D50" s="2">
        <v>44975</v>
      </c>
    </row>
    <row r="51" spans="1:4">
      <c r="A51" t="s">
        <v>1536</v>
      </c>
      <c r="B51" t="s">
        <v>1516</v>
      </c>
      <c r="C51">
        <v>9840</v>
      </c>
      <c r="D51" s="2">
        <v>44976</v>
      </c>
    </row>
    <row r="52" spans="1:4">
      <c r="A52" t="s">
        <v>1537</v>
      </c>
      <c r="B52" t="s">
        <v>1517</v>
      </c>
      <c r="C52">
        <v>4264</v>
      </c>
      <c r="D52" s="2">
        <v>44977</v>
      </c>
    </row>
    <row r="53" spans="1:4">
      <c r="A53" t="s">
        <v>1536</v>
      </c>
      <c r="B53" t="s">
        <v>1518</v>
      </c>
      <c r="C53">
        <v>717</v>
      </c>
      <c r="D53" s="2">
        <v>44978</v>
      </c>
    </row>
    <row r="54" spans="1:4">
      <c r="A54" t="s">
        <v>1537</v>
      </c>
      <c r="B54" t="s">
        <v>1516</v>
      </c>
      <c r="C54">
        <v>2582</v>
      </c>
      <c r="D54" s="2">
        <v>44979</v>
      </c>
    </row>
    <row r="55" spans="1:4">
      <c r="A55" t="s">
        <v>1538</v>
      </c>
      <c r="B55" t="s">
        <v>1514</v>
      </c>
      <c r="C55">
        <v>8777</v>
      </c>
      <c r="D55" s="2">
        <v>44980</v>
      </c>
    </row>
    <row r="56" spans="1:4">
      <c r="A56" t="s">
        <v>1535</v>
      </c>
      <c r="B56" t="s">
        <v>1514</v>
      </c>
      <c r="C56">
        <v>3585</v>
      </c>
      <c r="D56" s="2">
        <v>44981</v>
      </c>
    </row>
    <row r="57" spans="1:4">
      <c r="A57" t="s">
        <v>1537</v>
      </c>
      <c r="B57" t="s">
        <v>1517</v>
      </c>
      <c r="C57">
        <v>6363</v>
      </c>
      <c r="D57" s="2">
        <v>44982</v>
      </c>
    </row>
    <row r="58" spans="1:4">
      <c r="A58" t="s">
        <v>1536</v>
      </c>
      <c r="B58" t="s">
        <v>1514</v>
      </c>
      <c r="C58">
        <v>6787</v>
      </c>
      <c r="D58" s="2">
        <v>44983</v>
      </c>
    </row>
    <row r="59" spans="1:4">
      <c r="A59" t="s">
        <v>1536</v>
      </c>
      <c r="B59" t="s">
        <v>1518</v>
      </c>
      <c r="C59">
        <v>7586</v>
      </c>
      <c r="D59" s="2">
        <v>44984</v>
      </c>
    </row>
    <row r="60" spans="1:4">
      <c r="A60" t="s">
        <v>1537</v>
      </c>
      <c r="B60" t="s">
        <v>1517</v>
      </c>
      <c r="C60">
        <v>4822</v>
      </c>
      <c r="D60" s="2">
        <v>44985</v>
      </c>
    </row>
    <row r="61" spans="1:4">
      <c r="A61" t="s">
        <v>1536</v>
      </c>
      <c r="B61" t="s">
        <v>1514</v>
      </c>
      <c r="C61">
        <v>2707</v>
      </c>
      <c r="D61" s="2">
        <v>44986</v>
      </c>
    </row>
    <row r="62" spans="1:4">
      <c r="A62" t="s">
        <v>1536</v>
      </c>
      <c r="B62" t="s">
        <v>1516</v>
      </c>
      <c r="C62">
        <v>9631</v>
      </c>
      <c r="D62" s="2">
        <v>44987</v>
      </c>
    </row>
    <row r="63" spans="1:4">
      <c r="A63" t="s">
        <v>1538</v>
      </c>
      <c r="B63" t="s">
        <v>1518</v>
      </c>
      <c r="C63">
        <v>2005</v>
      </c>
      <c r="D63" s="2">
        <v>44988</v>
      </c>
    </row>
    <row r="64" spans="1:4">
      <c r="A64" t="s">
        <v>1537</v>
      </c>
      <c r="B64" t="s">
        <v>1518</v>
      </c>
      <c r="C64">
        <v>1986</v>
      </c>
      <c r="D64" s="2">
        <v>44989</v>
      </c>
    </row>
    <row r="65" spans="1:4">
      <c r="A65" t="s">
        <v>1538</v>
      </c>
      <c r="B65" t="s">
        <v>1516</v>
      </c>
      <c r="C65">
        <v>7991</v>
      </c>
      <c r="D65" s="2">
        <v>44990</v>
      </c>
    </row>
    <row r="66" spans="1:4">
      <c r="A66" t="s">
        <v>1536</v>
      </c>
      <c r="B66" t="s">
        <v>1517</v>
      </c>
      <c r="C66">
        <v>1908</v>
      </c>
      <c r="D66" s="2">
        <v>44991</v>
      </c>
    </row>
    <row r="67" spans="1:4">
      <c r="A67" t="s">
        <v>1536</v>
      </c>
      <c r="B67" t="s">
        <v>1514</v>
      </c>
      <c r="C67">
        <v>9832</v>
      </c>
      <c r="D67" s="2">
        <v>44992</v>
      </c>
    </row>
    <row r="68" spans="1:4">
      <c r="A68" t="s">
        <v>1537</v>
      </c>
      <c r="B68" t="s">
        <v>1515</v>
      </c>
      <c r="C68">
        <v>239</v>
      </c>
      <c r="D68" s="2">
        <v>44993</v>
      </c>
    </row>
    <row r="69" spans="1:4">
      <c r="A69" t="s">
        <v>1538</v>
      </c>
      <c r="B69" t="s">
        <v>1515</v>
      </c>
      <c r="C69">
        <v>1298</v>
      </c>
      <c r="D69" s="2">
        <v>44994</v>
      </c>
    </row>
    <row r="70" spans="1:4">
      <c r="A70" t="s">
        <v>1536</v>
      </c>
      <c r="B70" t="s">
        <v>1516</v>
      </c>
      <c r="C70">
        <v>2854</v>
      </c>
      <c r="D70" s="2">
        <v>44995</v>
      </c>
    </row>
    <row r="71" spans="1:4">
      <c r="A71" t="s">
        <v>1536</v>
      </c>
      <c r="B71" t="s">
        <v>1514</v>
      </c>
      <c r="C71">
        <v>3523</v>
      </c>
      <c r="D71" s="2">
        <v>44996</v>
      </c>
    </row>
    <row r="72" spans="1:4">
      <c r="A72" t="s">
        <v>1536</v>
      </c>
      <c r="B72" t="s">
        <v>1517</v>
      </c>
      <c r="C72">
        <v>5984</v>
      </c>
      <c r="D72" s="2">
        <v>44997</v>
      </c>
    </row>
    <row r="73" spans="1:4">
      <c r="A73" t="s">
        <v>1535</v>
      </c>
      <c r="B73" t="s">
        <v>1516</v>
      </c>
      <c r="C73">
        <v>765</v>
      </c>
      <c r="D73" s="2">
        <v>44998</v>
      </c>
    </row>
    <row r="74" spans="1:4">
      <c r="A74" t="s">
        <v>1536</v>
      </c>
      <c r="B74" t="s">
        <v>1518</v>
      </c>
      <c r="C74">
        <v>3155</v>
      </c>
      <c r="D74" s="2">
        <v>44999</v>
      </c>
    </row>
    <row r="75" spans="1:4">
      <c r="A75" t="s">
        <v>1535</v>
      </c>
      <c r="B75" t="s">
        <v>1514</v>
      </c>
      <c r="C75">
        <v>5101</v>
      </c>
      <c r="D75" s="2">
        <v>45000</v>
      </c>
    </row>
    <row r="76" spans="1:4">
      <c r="A76" t="s">
        <v>1538</v>
      </c>
      <c r="B76" t="s">
        <v>1517</v>
      </c>
      <c r="C76">
        <v>7163</v>
      </c>
      <c r="D76" s="2">
        <v>45001</v>
      </c>
    </row>
    <row r="77" spans="1:4">
      <c r="A77" t="s">
        <v>1536</v>
      </c>
      <c r="B77" t="s">
        <v>1516</v>
      </c>
      <c r="C77">
        <v>8472</v>
      </c>
      <c r="D77" s="2">
        <v>45002</v>
      </c>
    </row>
    <row r="78" spans="1:4">
      <c r="A78" t="s">
        <v>1538</v>
      </c>
      <c r="B78" t="s">
        <v>1515</v>
      </c>
      <c r="C78">
        <v>3861</v>
      </c>
      <c r="D78" s="2">
        <v>45003</v>
      </c>
    </row>
    <row r="79" spans="1:4">
      <c r="A79" t="s">
        <v>1536</v>
      </c>
      <c r="B79" t="s">
        <v>1514</v>
      </c>
      <c r="C79">
        <v>9313</v>
      </c>
      <c r="D79" s="2">
        <v>45004</v>
      </c>
    </row>
    <row r="80" spans="1:4">
      <c r="A80" t="s">
        <v>1536</v>
      </c>
      <c r="B80" t="s">
        <v>1517</v>
      </c>
      <c r="C80">
        <v>7466</v>
      </c>
      <c r="D80" s="2">
        <v>45005</v>
      </c>
    </row>
    <row r="81" spans="1:4">
      <c r="A81" t="s">
        <v>1537</v>
      </c>
      <c r="B81" t="s">
        <v>1517</v>
      </c>
      <c r="C81">
        <v>3732</v>
      </c>
      <c r="D81" s="2">
        <v>45006</v>
      </c>
    </row>
    <row r="82" spans="1:4">
      <c r="A82" t="s">
        <v>1537</v>
      </c>
      <c r="B82" t="s">
        <v>1516</v>
      </c>
      <c r="C82">
        <v>3589</v>
      </c>
      <c r="D82" s="2">
        <v>45007</v>
      </c>
    </row>
    <row r="83" spans="1:4">
      <c r="A83" t="s">
        <v>1537</v>
      </c>
      <c r="B83" t="s">
        <v>1515</v>
      </c>
      <c r="C83">
        <v>5279</v>
      </c>
      <c r="D83" s="2">
        <v>45008</v>
      </c>
    </row>
    <row r="84" spans="1:4">
      <c r="A84" t="s">
        <v>1536</v>
      </c>
      <c r="B84" t="s">
        <v>1514</v>
      </c>
      <c r="C84">
        <v>6891</v>
      </c>
      <c r="D84" s="2">
        <v>45009</v>
      </c>
    </row>
    <row r="85" spans="1:4">
      <c r="A85" t="s">
        <v>1538</v>
      </c>
      <c r="B85" t="s">
        <v>1516</v>
      </c>
      <c r="C85">
        <v>4296</v>
      </c>
      <c r="D85" s="2">
        <v>45010</v>
      </c>
    </row>
    <row r="86" spans="1:4">
      <c r="A86" t="s">
        <v>1535</v>
      </c>
      <c r="B86" t="s">
        <v>1516</v>
      </c>
      <c r="C86">
        <v>9325</v>
      </c>
      <c r="D86" s="2">
        <v>45011</v>
      </c>
    </row>
    <row r="87" spans="1:4">
      <c r="A87" t="s">
        <v>1536</v>
      </c>
      <c r="B87" t="s">
        <v>1515</v>
      </c>
      <c r="C87">
        <v>320</v>
      </c>
      <c r="D87" s="2">
        <v>45012</v>
      </c>
    </row>
    <row r="88" spans="1:4">
      <c r="A88" t="s">
        <v>1537</v>
      </c>
      <c r="B88" t="s">
        <v>1514</v>
      </c>
      <c r="C88">
        <v>8949</v>
      </c>
      <c r="D88" s="2">
        <v>45013</v>
      </c>
    </row>
    <row r="89" spans="1:4">
      <c r="A89" t="s">
        <v>1536</v>
      </c>
      <c r="B89" t="s">
        <v>1514</v>
      </c>
      <c r="C89">
        <v>7883</v>
      </c>
      <c r="D89" s="2">
        <v>45014</v>
      </c>
    </row>
    <row r="90" spans="1:4">
      <c r="A90" t="s">
        <v>1535</v>
      </c>
      <c r="B90" t="s">
        <v>1518</v>
      </c>
      <c r="C90">
        <v>7996</v>
      </c>
      <c r="D90" s="2">
        <v>45015</v>
      </c>
    </row>
    <row r="91" spans="1:4">
      <c r="A91" t="s">
        <v>1538</v>
      </c>
      <c r="B91" t="s">
        <v>1515</v>
      </c>
      <c r="C91">
        <v>4864</v>
      </c>
      <c r="D91" s="2">
        <v>45016</v>
      </c>
    </row>
    <row r="92" spans="1:4">
      <c r="A92" t="s">
        <v>1535</v>
      </c>
      <c r="B92" t="s">
        <v>1518</v>
      </c>
      <c r="C92">
        <v>1556</v>
      </c>
      <c r="D92" s="2">
        <v>45017</v>
      </c>
    </row>
    <row r="93" spans="1:4">
      <c r="A93" t="s">
        <v>1535</v>
      </c>
      <c r="B93" t="s">
        <v>1514</v>
      </c>
      <c r="C93">
        <v>8737</v>
      </c>
      <c r="D93" s="2">
        <v>45018</v>
      </c>
    </row>
    <row r="94" spans="1:4">
      <c r="A94" t="s">
        <v>1538</v>
      </c>
      <c r="B94" t="s">
        <v>1515</v>
      </c>
      <c r="C94">
        <v>5047</v>
      </c>
      <c r="D94" s="2">
        <v>45019</v>
      </c>
    </row>
    <row r="95" spans="1:4">
      <c r="A95" t="s">
        <v>1538</v>
      </c>
      <c r="B95" t="s">
        <v>1518</v>
      </c>
      <c r="C95">
        <v>511</v>
      </c>
      <c r="D95" s="2">
        <v>45020</v>
      </c>
    </row>
    <row r="96" spans="1:4">
      <c r="A96" t="s">
        <v>1536</v>
      </c>
      <c r="B96" t="s">
        <v>1514</v>
      </c>
      <c r="C96">
        <v>6640</v>
      </c>
      <c r="D96" s="2">
        <v>45021</v>
      </c>
    </row>
    <row r="97" spans="1:4">
      <c r="A97" t="s">
        <v>1537</v>
      </c>
      <c r="B97" t="s">
        <v>1515</v>
      </c>
      <c r="C97">
        <v>6442</v>
      </c>
      <c r="D97" s="2">
        <v>45022</v>
      </c>
    </row>
    <row r="98" spans="1:4">
      <c r="A98" t="s">
        <v>1536</v>
      </c>
      <c r="B98" t="s">
        <v>1514</v>
      </c>
      <c r="C98">
        <v>1217</v>
      </c>
      <c r="D98" s="2">
        <v>45023</v>
      </c>
    </row>
    <row r="99" spans="1:4">
      <c r="A99" t="s">
        <v>1535</v>
      </c>
      <c r="B99" t="s">
        <v>1515</v>
      </c>
      <c r="C99">
        <v>4212</v>
      </c>
      <c r="D99" s="2">
        <v>45024</v>
      </c>
    </row>
    <row r="100" spans="1:4">
      <c r="A100" t="s">
        <v>1538</v>
      </c>
      <c r="B100" t="s">
        <v>1514</v>
      </c>
      <c r="C100">
        <v>2056</v>
      </c>
      <c r="D100" s="2">
        <v>45025</v>
      </c>
    </row>
    <row r="101" spans="1:4">
      <c r="A101" t="s">
        <v>1535</v>
      </c>
      <c r="B101" t="s">
        <v>1515</v>
      </c>
      <c r="C101">
        <v>1585</v>
      </c>
      <c r="D101" s="2">
        <v>45026</v>
      </c>
    </row>
    <row r="102" spans="1:4">
      <c r="A102" t="s">
        <v>1535</v>
      </c>
      <c r="B102" t="s">
        <v>1515</v>
      </c>
      <c r="C102">
        <v>1836</v>
      </c>
      <c r="D102" s="2">
        <v>45027</v>
      </c>
    </row>
    <row r="103" spans="1:4">
      <c r="A103" t="s">
        <v>1536</v>
      </c>
      <c r="B103" t="s">
        <v>1514</v>
      </c>
      <c r="C103">
        <v>5024</v>
      </c>
      <c r="D103" s="2">
        <v>45028</v>
      </c>
    </row>
    <row r="104" spans="1:4">
      <c r="A104" t="s">
        <v>1535</v>
      </c>
      <c r="B104" t="s">
        <v>1515</v>
      </c>
      <c r="C104">
        <v>2644</v>
      </c>
      <c r="D104" s="2">
        <v>45029</v>
      </c>
    </row>
    <row r="105" spans="1:4">
      <c r="A105" t="s">
        <v>1535</v>
      </c>
      <c r="B105" t="s">
        <v>1518</v>
      </c>
      <c r="C105">
        <v>1685</v>
      </c>
      <c r="D105" s="2">
        <v>45030</v>
      </c>
    </row>
    <row r="106" spans="1:4">
      <c r="A106" t="s">
        <v>1537</v>
      </c>
      <c r="B106" t="s">
        <v>1517</v>
      </c>
      <c r="C106">
        <v>4190</v>
      </c>
      <c r="D106" s="2">
        <v>45031</v>
      </c>
    </row>
    <row r="107" spans="1:4">
      <c r="A107" t="s">
        <v>1535</v>
      </c>
      <c r="B107" t="s">
        <v>1515</v>
      </c>
      <c r="C107">
        <v>7191</v>
      </c>
      <c r="D107" s="2">
        <v>45032</v>
      </c>
    </row>
    <row r="108" spans="1:4">
      <c r="A108" t="s">
        <v>1535</v>
      </c>
      <c r="B108" t="s">
        <v>1514</v>
      </c>
      <c r="C108">
        <v>9393</v>
      </c>
      <c r="D108" s="2">
        <v>45033</v>
      </c>
    </row>
    <row r="109" spans="1:4">
      <c r="A109" t="s">
        <v>1538</v>
      </c>
      <c r="B109" t="s">
        <v>1515</v>
      </c>
      <c r="C109">
        <v>4392</v>
      </c>
      <c r="D109" s="2">
        <v>45034</v>
      </c>
    </row>
    <row r="110" spans="1:4">
      <c r="A110" t="s">
        <v>1538</v>
      </c>
      <c r="B110" t="s">
        <v>1518</v>
      </c>
      <c r="C110">
        <v>3024</v>
      </c>
      <c r="D110" s="2">
        <v>45035</v>
      </c>
    </row>
    <row r="111" spans="1:4">
      <c r="A111" t="s">
        <v>1536</v>
      </c>
      <c r="B111" t="s">
        <v>1514</v>
      </c>
      <c r="C111">
        <v>4749</v>
      </c>
      <c r="D111" s="2">
        <v>45036</v>
      </c>
    </row>
    <row r="112" spans="1:4">
      <c r="A112" t="s">
        <v>1535</v>
      </c>
      <c r="B112" t="s">
        <v>1518</v>
      </c>
      <c r="C112">
        <v>5130</v>
      </c>
      <c r="D112" s="2">
        <v>45037</v>
      </c>
    </row>
    <row r="113" spans="1:4">
      <c r="A113" t="s">
        <v>1538</v>
      </c>
      <c r="B113" t="s">
        <v>1515</v>
      </c>
      <c r="C113">
        <v>2547</v>
      </c>
      <c r="D113" s="2">
        <v>45038</v>
      </c>
    </row>
    <row r="114" spans="1:4">
      <c r="A114" t="s">
        <v>1536</v>
      </c>
      <c r="B114" t="s">
        <v>1517</v>
      </c>
      <c r="C114">
        <v>4207</v>
      </c>
      <c r="D114" s="2">
        <v>45039</v>
      </c>
    </row>
    <row r="115" spans="1:4">
      <c r="A115" t="s">
        <v>1536</v>
      </c>
      <c r="B115" t="s">
        <v>1517</v>
      </c>
      <c r="C115">
        <v>6259</v>
      </c>
      <c r="D115" s="2">
        <v>45040</v>
      </c>
    </row>
    <row r="116" spans="1:4">
      <c r="A116" t="s">
        <v>1536</v>
      </c>
      <c r="B116" t="s">
        <v>1517</v>
      </c>
      <c r="C116">
        <v>311</v>
      </c>
      <c r="D116" s="2">
        <v>45041</v>
      </c>
    </row>
    <row r="117" spans="1:4">
      <c r="A117" t="s">
        <v>1535</v>
      </c>
      <c r="B117" t="s">
        <v>1515</v>
      </c>
      <c r="C117">
        <v>9966</v>
      </c>
      <c r="D117" s="2">
        <v>45042</v>
      </c>
    </row>
    <row r="118" spans="1:4">
      <c r="A118" t="s">
        <v>1538</v>
      </c>
      <c r="B118" t="s">
        <v>1516</v>
      </c>
      <c r="C118">
        <v>8142</v>
      </c>
      <c r="D118" s="2">
        <v>45043</v>
      </c>
    </row>
    <row r="119" spans="1:4">
      <c r="A119" t="s">
        <v>1538</v>
      </c>
      <c r="B119" t="s">
        <v>1518</v>
      </c>
      <c r="C119">
        <v>8330</v>
      </c>
      <c r="D119" s="2">
        <v>45044</v>
      </c>
    </row>
    <row r="120" spans="1:4">
      <c r="A120" t="s">
        <v>1536</v>
      </c>
      <c r="B120" t="s">
        <v>1517</v>
      </c>
      <c r="C120">
        <v>7010</v>
      </c>
      <c r="D120" s="2">
        <v>45045</v>
      </c>
    </row>
    <row r="121" spans="1:4">
      <c r="A121" t="s">
        <v>1537</v>
      </c>
      <c r="B121" t="s">
        <v>1514</v>
      </c>
      <c r="C121">
        <v>864</v>
      </c>
      <c r="D121" s="2">
        <v>45046</v>
      </c>
    </row>
    <row r="122" spans="1:4">
      <c r="A122" t="s">
        <v>1538</v>
      </c>
      <c r="B122" t="s">
        <v>1516</v>
      </c>
      <c r="C122">
        <v>6539</v>
      </c>
      <c r="D122" s="2">
        <v>45047</v>
      </c>
    </row>
    <row r="123" spans="1:4">
      <c r="A123" t="s">
        <v>1537</v>
      </c>
      <c r="B123" t="s">
        <v>1514</v>
      </c>
      <c r="C123">
        <v>2851</v>
      </c>
      <c r="D123" s="2">
        <v>45048</v>
      </c>
    </row>
    <row r="124" spans="1:4">
      <c r="A124" t="s">
        <v>1536</v>
      </c>
      <c r="B124" t="s">
        <v>1517</v>
      </c>
      <c r="C124">
        <v>4726</v>
      </c>
      <c r="D124" s="2">
        <v>45049</v>
      </c>
    </row>
    <row r="125" spans="1:4">
      <c r="A125" t="s">
        <v>1535</v>
      </c>
      <c r="B125" t="s">
        <v>1517</v>
      </c>
      <c r="C125">
        <v>6507</v>
      </c>
      <c r="D125" s="2">
        <v>45050</v>
      </c>
    </row>
    <row r="126" spans="1:4">
      <c r="A126" t="s">
        <v>1537</v>
      </c>
      <c r="B126" t="s">
        <v>1515</v>
      </c>
      <c r="C126">
        <v>6414</v>
      </c>
      <c r="D126" s="2">
        <v>45051</v>
      </c>
    </row>
    <row r="127" spans="1:4">
      <c r="A127" t="s">
        <v>1538</v>
      </c>
      <c r="B127" t="s">
        <v>1516</v>
      </c>
      <c r="C127">
        <v>5429</v>
      </c>
      <c r="D127" s="2">
        <v>45052</v>
      </c>
    </row>
    <row r="128" spans="1:4">
      <c r="A128" t="s">
        <v>1538</v>
      </c>
      <c r="B128" t="s">
        <v>1514</v>
      </c>
      <c r="C128">
        <v>8648</v>
      </c>
      <c r="D128" s="2">
        <v>45053</v>
      </c>
    </row>
    <row r="129" spans="1:4">
      <c r="A129" t="s">
        <v>1538</v>
      </c>
      <c r="B129" t="s">
        <v>1516</v>
      </c>
      <c r="C129">
        <v>1322</v>
      </c>
      <c r="D129" s="2">
        <v>45054</v>
      </c>
    </row>
    <row r="130" spans="1:4">
      <c r="A130" t="s">
        <v>1536</v>
      </c>
      <c r="B130" t="s">
        <v>1516</v>
      </c>
      <c r="C130">
        <v>539</v>
      </c>
      <c r="D130" s="2">
        <v>45055</v>
      </c>
    </row>
    <row r="131" spans="1:4">
      <c r="A131" t="s">
        <v>1535</v>
      </c>
      <c r="B131" t="s">
        <v>1514</v>
      </c>
      <c r="C131">
        <v>6603</v>
      </c>
      <c r="D131" s="2">
        <v>45056</v>
      </c>
    </row>
    <row r="132" spans="1:4">
      <c r="A132" t="s">
        <v>1537</v>
      </c>
      <c r="B132" t="s">
        <v>1517</v>
      </c>
      <c r="C132">
        <v>6003</v>
      </c>
      <c r="D132" s="2">
        <v>45057</v>
      </c>
    </row>
    <row r="133" spans="1:4">
      <c r="A133" t="s">
        <v>1535</v>
      </c>
      <c r="B133" t="s">
        <v>1518</v>
      </c>
      <c r="C133">
        <v>7390</v>
      </c>
      <c r="D133" s="2">
        <v>45058</v>
      </c>
    </row>
    <row r="134" spans="1:4">
      <c r="A134" t="s">
        <v>1536</v>
      </c>
      <c r="B134" t="s">
        <v>1518</v>
      </c>
      <c r="C134">
        <v>8889</v>
      </c>
      <c r="D134" s="2">
        <v>45059</v>
      </c>
    </row>
    <row r="135" spans="1:4">
      <c r="A135" t="s">
        <v>1538</v>
      </c>
      <c r="B135" t="s">
        <v>1518</v>
      </c>
      <c r="C135">
        <v>6409</v>
      </c>
      <c r="D135" s="2">
        <v>45060</v>
      </c>
    </row>
    <row r="136" spans="1:4">
      <c r="A136" t="s">
        <v>1536</v>
      </c>
      <c r="B136" t="s">
        <v>1518</v>
      </c>
      <c r="C136">
        <v>5953</v>
      </c>
      <c r="D136" s="2">
        <v>45061</v>
      </c>
    </row>
    <row r="137" spans="1:4">
      <c r="A137" t="s">
        <v>1536</v>
      </c>
      <c r="B137" t="s">
        <v>1515</v>
      </c>
      <c r="C137">
        <v>2242</v>
      </c>
      <c r="D137" s="2">
        <v>45062</v>
      </c>
    </row>
    <row r="138" spans="1:4">
      <c r="A138" t="s">
        <v>1535</v>
      </c>
      <c r="B138" t="s">
        <v>1516</v>
      </c>
      <c r="C138">
        <v>3870</v>
      </c>
      <c r="D138" s="2">
        <v>45063</v>
      </c>
    </row>
    <row r="139" spans="1:4">
      <c r="A139" t="s">
        <v>1536</v>
      </c>
      <c r="B139" t="s">
        <v>1518</v>
      </c>
      <c r="C139">
        <v>2833</v>
      </c>
      <c r="D139" s="2">
        <v>45064</v>
      </c>
    </row>
    <row r="140" spans="1:4">
      <c r="A140" t="s">
        <v>1538</v>
      </c>
      <c r="B140" t="s">
        <v>1518</v>
      </c>
      <c r="C140">
        <v>2144</v>
      </c>
      <c r="D140" s="2">
        <v>45065</v>
      </c>
    </row>
    <row r="141" spans="1:4">
      <c r="A141" t="s">
        <v>1538</v>
      </c>
      <c r="B141" t="s">
        <v>1515</v>
      </c>
      <c r="C141">
        <v>4210</v>
      </c>
      <c r="D141" s="2">
        <v>45066</v>
      </c>
    </row>
    <row r="142" spans="1:4">
      <c r="A142" t="s">
        <v>1538</v>
      </c>
      <c r="B142" t="s">
        <v>1515</v>
      </c>
      <c r="C142">
        <v>1850</v>
      </c>
      <c r="D142" s="2">
        <v>45067</v>
      </c>
    </row>
    <row r="143" spans="1:4">
      <c r="A143" t="s">
        <v>1536</v>
      </c>
      <c r="B143" t="s">
        <v>1515</v>
      </c>
      <c r="C143">
        <v>2252</v>
      </c>
      <c r="D143" s="2">
        <v>45068</v>
      </c>
    </row>
    <row r="144" spans="1:4">
      <c r="A144" t="s">
        <v>1538</v>
      </c>
      <c r="B144" t="s">
        <v>1518</v>
      </c>
      <c r="C144">
        <v>6100</v>
      </c>
      <c r="D144" s="2">
        <v>45069</v>
      </c>
    </row>
    <row r="145" spans="1:4">
      <c r="A145" t="s">
        <v>1537</v>
      </c>
      <c r="B145" t="s">
        <v>1514</v>
      </c>
      <c r="C145">
        <v>9808</v>
      </c>
      <c r="D145" s="2">
        <v>45070</v>
      </c>
    </row>
    <row r="146" spans="1:4">
      <c r="A146" t="s">
        <v>1536</v>
      </c>
      <c r="B146" t="s">
        <v>1516</v>
      </c>
      <c r="C146">
        <v>5360</v>
      </c>
      <c r="D146" s="2">
        <v>45071</v>
      </c>
    </row>
    <row r="147" spans="1:4">
      <c r="A147" t="s">
        <v>1536</v>
      </c>
      <c r="B147" t="s">
        <v>1516</v>
      </c>
      <c r="C147">
        <v>9138</v>
      </c>
      <c r="D147" s="2">
        <v>45072</v>
      </c>
    </row>
    <row r="148" spans="1:4">
      <c r="A148" t="s">
        <v>1538</v>
      </c>
      <c r="B148" t="s">
        <v>1514</v>
      </c>
      <c r="C148">
        <v>854</v>
      </c>
      <c r="D148" s="2">
        <v>45073</v>
      </c>
    </row>
    <row r="149" spans="1:4">
      <c r="A149" t="s">
        <v>1538</v>
      </c>
      <c r="B149" t="s">
        <v>1515</v>
      </c>
      <c r="C149">
        <v>5153</v>
      </c>
      <c r="D149" s="2">
        <v>45074</v>
      </c>
    </row>
    <row r="150" spans="1:4">
      <c r="A150" t="s">
        <v>1537</v>
      </c>
      <c r="B150" t="s">
        <v>1518</v>
      </c>
      <c r="C150">
        <v>7264</v>
      </c>
      <c r="D150" s="2">
        <v>45075</v>
      </c>
    </row>
    <row r="151" spans="1:4">
      <c r="A151" t="s">
        <v>1535</v>
      </c>
      <c r="B151" t="s">
        <v>1515</v>
      </c>
      <c r="C151">
        <v>7143</v>
      </c>
      <c r="D151" s="2">
        <v>45076</v>
      </c>
    </row>
    <row r="152" spans="1:4">
      <c r="A152" t="s">
        <v>1536</v>
      </c>
      <c r="B152" t="s">
        <v>1517</v>
      </c>
      <c r="C152">
        <v>8774</v>
      </c>
      <c r="D152" s="2">
        <v>45077</v>
      </c>
    </row>
    <row r="153" spans="1:4">
      <c r="A153" t="s">
        <v>1536</v>
      </c>
      <c r="B153" t="s">
        <v>1518</v>
      </c>
      <c r="C153">
        <v>2410</v>
      </c>
      <c r="D153" s="2">
        <v>45078</v>
      </c>
    </row>
    <row r="154" spans="1:4">
      <c r="A154" t="s">
        <v>1537</v>
      </c>
      <c r="B154" t="s">
        <v>1516</v>
      </c>
      <c r="C154">
        <v>8328</v>
      </c>
      <c r="D154" s="2">
        <v>45079</v>
      </c>
    </row>
    <row r="155" spans="1:4">
      <c r="A155" t="s">
        <v>1536</v>
      </c>
      <c r="B155" t="s">
        <v>1517</v>
      </c>
      <c r="C155">
        <v>173</v>
      </c>
      <c r="D155" s="2">
        <v>45080</v>
      </c>
    </row>
    <row r="156" spans="1:4">
      <c r="A156" t="s">
        <v>1536</v>
      </c>
      <c r="B156" t="s">
        <v>1518</v>
      </c>
      <c r="C156">
        <v>7628</v>
      </c>
      <c r="D156" s="2">
        <v>45081</v>
      </c>
    </row>
    <row r="157" spans="1:4">
      <c r="A157" t="s">
        <v>1538</v>
      </c>
      <c r="B157" t="s">
        <v>1516</v>
      </c>
      <c r="C157">
        <v>6445</v>
      </c>
      <c r="D157" s="2">
        <v>45082</v>
      </c>
    </row>
    <row r="158" spans="1:4">
      <c r="A158" t="s">
        <v>1535</v>
      </c>
      <c r="B158" t="s">
        <v>1516</v>
      </c>
      <c r="C158">
        <v>780</v>
      </c>
      <c r="D158" s="2">
        <v>45083</v>
      </c>
    </row>
    <row r="159" spans="1:4">
      <c r="A159" t="s">
        <v>1536</v>
      </c>
      <c r="B159" t="s">
        <v>1514</v>
      </c>
      <c r="C159">
        <v>7694</v>
      </c>
      <c r="D159" s="2">
        <v>45084</v>
      </c>
    </row>
    <row r="160" spans="1:4">
      <c r="A160" t="s">
        <v>1538</v>
      </c>
      <c r="B160" t="s">
        <v>1518</v>
      </c>
      <c r="C160">
        <v>1034</v>
      </c>
      <c r="D160" s="2">
        <v>45085</v>
      </c>
    </row>
    <row r="161" spans="1:4">
      <c r="A161" t="s">
        <v>1538</v>
      </c>
      <c r="B161" t="s">
        <v>1518</v>
      </c>
      <c r="C161">
        <v>7547</v>
      </c>
      <c r="D161" s="2">
        <v>45086</v>
      </c>
    </row>
    <row r="162" spans="1:4">
      <c r="A162" t="s">
        <v>1538</v>
      </c>
      <c r="B162" t="s">
        <v>1515</v>
      </c>
      <c r="C162">
        <v>7132</v>
      </c>
      <c r="D162" s="2">
        <v>45087</v>
      </c>
    </row>
    <row r="163" spans="1:4">
      <c r="A163" t="s">
        <v>1538</v>
      </c>
      <c r="B163" t="s">
        <v>1516</v>
      </c>
      <c r="C163">
        <v>5258</v>
      </c>
      <c r="D163" s="2">
        <v>45088</v>
      </c>
    </row>
    <row r="164" spans="1:4">
      <c r="A164" t="s">
        <v>1536</v>
      </c>
      <c r="B164" t="s">
        <v>1514</v>
      </c>
      <c r="C164">
        <v>3277</v>
      </c>
      <c r="D164" s="2">
        <v>45089</v>
      </c>
    </row>
    <row r="165" spans="1:4">
      <c r="A165" t="s">
        <v>1535</v>
      </c>
      <c r="B165" t="s">
        <v>1514</v>
      </c>
      <c r="C165">
        <v>9527</v>
      </c>
      <c r="D165" s="2">
        <v>45090</v>
      </c>
    </row>
    <row r="166" spans="1:4">
      <c r="A166" t="s">
        <v>1536</v>
      </c>
      <c r="B166" t="s">
        <v>1514</v>
      </c>
      <c r="C166">
        <v>6798</v>
      </c>
      <c r="D166" s="2">
        <v>45091</v>
      </c>
    </row>
    <row r="167" spans="1:4">
      <c r="A167" t="s">
        <v>1535</v>
      </c>
      <c r="B167" t="s">
        <v>1515</v>
      </c>
      <c r="C167">
        <v>1941</v>
      </c>
      <c r="D167" s="2">
        <v>45092</v>
      </c>
    </row>
    <row r="168" spans="1:4">
      <c r="A168" t="s">
        <v>1536</v>
      </c>
      <c r="B168" t="s">
        <v>1515</v>
      </c>
      <c r="C168">
        <v>2279</v>
      </c>
      <c r="D168" s="2">
        <v>45093</v>
      </c>
    </row>
    <row r="169" spans="1:4">
      <c r="A169" t="s">
        <v>1535</v>
      </c>
      <c r="B169" t="s">
        <v>1516</v>
      </c>
      <c r="C169">
        <v>3476</v>
      </c>
      <c r="D169" s="2">
        <v>45094</v>
      </c>
    </row>
    <row r="170" spans="1:4">
      <c r="A170" t="s">
        <v>1535</v>
      </c>
      <c r="B170" t="s">
        <v>1514</v>
      </c>
      <c r="C170">
        <v>7209</v>
      </c>
      <c r="D170" s="2">
        <v>45095</v>
      </c>
    </row>
    <row r="171" spans="1:4">
      <c r="A171" t="s">
        <v>1536</v>
      </c>
      <c r="B171" t="s">
        <v>1517</v>
      </c>
      <c r="C171">
        <v>9223</v>
      </c>
      <c r="D171" s="2">
        <v>45096</v>
      </c>
    </row>
    <row r="172" spans="1:4">
      <c r="A172" t="s">
        <v>1536</v>
      </c>
      <c r="B172" t="s">
        <v>1518</v>
      </c>
      <c r="C172">
        <v>8229</v>
      </c>
      <c r="D172" s="2">
        <v>45097</v>
      </c>
    </row>
    <row r="173" spans="1:4">
      <c r="A173" t="s">
        <v>1538</v>
      </c>
      <c r="B173" t="s">
        <v>1514</v>
      </c>
      <c r="C173">
        <v>1778</v>
      </c>
      <c r="D173" s="2">
        <v>45098</v>
      </c>
    </row>
    <row r="174" spans="1:4">
      <c r="A174" t="s">
        <v>1537</v>
      </c>
      <c r="B174" t="s">
        <v>1514</v>
      </c>
      <c r="C174">
        <v>5784</v>
      </c>
      <c r="D174" s="2">
        <v>45099</v>
      </c>
    </row>
    <row r="175" spans="1:4">
      <c r="A175" t="s">
        <v>1537</v>
      </c>
      <c r="B175" t="s">
        <v>1515</v>
      </c>
      <c r="C175">
        <v>3918</v>
      </c>
      <c r="D175" s="2">
        <v>45100</v>
      </c>
    </row>
    <row r="176" spans="1:4">
      <c r="A176" t="s">
        <v>1535</v>
      </c>
      <c r="B176" t="s">
        <v>1515</v>
      </c>
      <c r="C176">
        <v>1171</v>
      </c>
      <c r="D176" s="2">
        <v>45101</v>
      </c>
    </row>
    <row r="177" spans="1:4">
      <c r="A177" t="s">
        <v>1538</v>
      </c>
      <c r="B177" t="s">
        <v>1514</v>
      </c>
      <c r="C177">
        <v>2621</v>
      </c>
      <c r="D177" s="2">
        <v>45102</v>
      </c>
    </row>
    <row r="178" spans="1:4">
      <c r="A178" t="s">
        <v>1537</v>
      </c>
      <c r="B178" t="s">
        <v>1515</v>
      </c>
      <c r="C178">
        <v>9848</v>
      </c>
      <c r="D178" s="2">
        <v>45103</v>
      </c>
    </row>
    <row r="179" spans="1:4">
      <c r="A179" t="s">
        <v>1536</v>
      </c>
      <c r="B179" t="s">
        <v>1514</v>
      </c>
      <c r="C179">
        <v>4180</v>
      </c>
      <c r="D179" s="2">
        <v>45104</v>
      </c>
    </row>
    <row r="180" spans="1:4">
      <c r="A180" t="s">
        <v>1535</v>
      </c>
      <c r="B180" t="s">
        <v>1516</v>
      </c>
      <c r="C180">
        <v>682</v>
      </c>
      <c r="D180" s="2">
        <v>45105</v>
      </c>
    </row>
    <row r="181" spans="1:4">
      <c r="A181" t="s">
        <v>1535</v>
      </c>
      <c r="B181" t="s">
        <v>1517</v>
      </c>
      <c r="C181">
        <v>4914</v>
      </c>
      <c r="D181" s="2">
        <v>45106</v>
      </c>
    </row>
    <row r="182" spans="1:4">
      <c r="A182" t="s">
        <v>1535</v>
      </c>
      <c r="B182" t="s">
        <v>1515</v>
      </c>
      <c r="C182">
        <v>4000</v>
      </c>
      <c r="D182" s="2">
        <v>45107</v>
      </c>
    </row>
    <row r="183" spans="1:4">
      <c r="A183" t="s">
        <v>1535</v>
      </c>
      <c r="B183" t="s">
        <v>1514</v>
      </c>
      <c r="C183">
        <v>3450</v>
      </c>
      <c r="D183" s="2">
        <v>45108</v>
      </c>
    </row>
    <row r="184" spans="1:4">
      <c r="A184" t="s">
        <v>1538</v>
      </c>
      <c r="B184" t="s">
        <v>1516</v>
      </c>
      <c r="C184">
        <v>4204</v>
      </c>
      <c r="D184" s="2">
        <v>45109</v>
      </c>
    </row>
    <row r="185" spans="1:4">
      <c r="A185" t="s">
        <v>1537</v>
      </c>
      <c r="B185" t="s">
        <v>1515</v>
      </c>
      <c r="C185">
        <v>178</v>
      </c>
      <c r="D185" s="2">
        <v>45110</v>
      </c>
    </row>
    <row r="186" spans="1:4">
      <c r="A186" t="s">
        <v>1535</v>
      </c>
      <c r="B186" t="s">
        <v>1518</v>
      </c>
      <c r="C186">
        <v>356</v>
      </c>
      <c r="D186" s="2">
        <v>45111</v>
      </c>
    </row>
    <row r="187" spans="1:4">
      <c r="A187" t="s">
        <v>1538</v>
      </c>
      <c r="B187" t="s">
        <v>1517</v>
      </c>
      <c r="C187">
        <v>3842</v>
      </c>
      <c r="D187" s="2">
        <v>45112</v>
      </c>
    </row>
    <row r="188" spans="1:4">
      <c r="A188" t="s">
        <v>1535</v>
      </c>
      <c r="B188" t="s">
        <v>1514</v>
      </c>
      <c r="C188">
        <v>5326</v>
      </c>
      <c r="D188" s="2">
        <v>45113</v>
      </c>
    </row>
    <row r="189" spans="1:4">
      <c r="A189" t="s">
        <v>1536</v>
      </c>
      <c r="B189" t="s">
        <v>1516</v>
      </c>
      <c r="C189">
        <v>2777</v>
      </c>
      <c r="D189" s="2">
        <v>45114</v>
      </c>
    </row>
    <row r="190" spans="1:4">
      <c r="A190" t="s">
        <v>1536</v>
      </c>
      <c r="B190" t="s">
        <v>1515</v>
      </c>
      <c r="C190">
        <v>1356</v>
      </c>
      <c r="D190" s="2">
        <v>45115</v>
      </c>
    </row>
    <row r="191" spans="1:4">
      <c r="A191" t="s">
        <v>1537</v>
      </c>
      <c r="B191" t="s">
        <v>1514</v>
      </c>
      <c r="C191">
        <v>5649</v>
      </c>
      <c r="D191" s="2">
        <v>45116</v>
      </c>
    </row>
    <row r="192" spans="1:4">
      <c r="A192" t="s">
        <v>1536</v>
      </c>
      <c r="B192" t="s">
        <v>1517</v>
      </c>
      <c r="C192">
        <v>6376</v>
      </c>
      <c r="D192" s="2">
        <v>45117</v>
      </c>
    </row>
    <row r="193" spans="1:4">
      <c r="A193" t="s">
        <v>1537</v>
      </c>
      <c r="B193" t="s">
        <v>1514</v>
      </c>
      <c r="C193">
        <v>5023</v>
      </c>
      <c r="D193" s="2">
        <v>45118</v>
      </c>
    </row>
    <row r="194" spans="1:4">
      <c r="A194" t="s">
        <v>1537</v>
      </c>
      <c r="B194" t="s">
        <v>1516</v>
      </c>
      <c r="C194">
        <v>7082</v>
      </c>
      <c r="D194" s="2">
        <v>45119</v>
      </c>
    </row>
    <row r="195" spans="1:4">
      <c r="A195" t="s">
        <v>1538</v>
      </c>
      <c r="B195" t="s">
        <v>1516</v>
      </c>
      <c r="C195">
        <v>4860</v>
      </c>
      <c r="D195" s="2">
        <v>45120</v>
      </c>
    </row>
    <row r="196" spans="1:4">
      <c r="A196" t="s">
        <v>1538</v>
      </c>
      <c r="B196" t="s">
        <v>1514</v>
      </c>
      <c r="C196">
        <v>699</v>
      </c>
      <c r="D196" s="2">
        <v>45121</v>
      </c>
    </row>
    <row r="197" spans="1:4">
      <c r="A197" t="s">
        <v>1535</v>
      </c>
      <c r="B197" t="s">
        <v>1517</v>
      </c>
      <c r="C197">
        <v>789</v>
      </c>
      <c r="D197" s="2">
        <v>45122</v>
      </c>
    </row>
    <row r="198" spans="1:4">
      <c r="A198" t="s">
        <v>1536</v>
      </c>
      <c r="B198" t="s">
        <v>1517</v>
      </c>
      <c r="C198">
        <v>4748</v>
      </c>
      <c r="D198" s="2">
        <v>45123</v>
      </c>
    </row>
    <row r="199" spans="1:4">
      <c r="A199" t="s">
        <v>1537</v>
      </c>
      <c r="B199" t="s">
        <v>1515</v>
      </c>
      <c r="C199">
        <v>1852</v>
      </c>
      <c r="D199" s="2">
        <v>45124</v>
      </c>
    </row>
    <row r="200" spans="1:4">
      <c r="A200" t="s">
        <v>1537</v>
      </c>
      <c r="B200" t="s">
        <v>1516</v>
      </c>
      <c r="C200">
        <v>4409</v>
      </c>
      <c r="D200" s="2">
        <v>45125</v>
      </c>
    </row>
    <row r="201" spans="1:4">
      <c r="A201" t="s">
        <v>1537</v>
      </c>
      <c r="B201" t="s">
        <v>1518</v>
      </c>
      <c r="C201">
        <v>2842</v>
      </c>
      <c r="D201" s="2">
        <v>45126</v>
      </c>
    </row>
    <row r="202" spans="1:4">
      <c r="A202" t="s">
        <v>1538</v>
      </c>
      <c r="B202" t="s">
        <v>1516</v>
      </c>
      <c r="C202">
        <v>897</v>
      </c>
      <c r="D202" s="2">
        <v>45127</v>
      </c>
    </row>
    <row r="203" spans="1:4">
      <c r="A203" t="s">
        <v>1537</v>
      </c>
      <c r="B203" t="s">
        <v>1518</v>
      </c>
      <c r="C203">
        <v>6697</v>
      </c>
      <c r="D203" s="2">
        <v>45128</v>
      </c>
    </row>
    <row r="204" spans="1:4">
      <c r="A204" t="s">
        <v>1535</v>
      </c>
      <c r="B204" t="s">
        <v>1517</v>
      </c>
      <c r="C204">
        <v>5240</v>
      </c>
      <c r="D204" s="2">
        <v>45129</v>
      </c>
    </row>
    <row r="205" spans="1:4">
      <c r="A205" t="s">
        <v>1538</v>
      </c>
      <c r="B205" t="s">
        <v>1515</v>
      </c>
      <c r="C205">
        <v>4897</v>
      </c>
      <c r="D205" s="2">
        <v>45130</v>
      </c>
    </row>
    <row r="206" spans="1:4">
      <c r="A206" t="s">
        <v>1535</v>
      </c>
      <c r="B206" t="s">
        <v>1515</v>
      </c>
      <c r="C206">
        <v>893</v>
      </c>
      <c r="D206" s="2">
        <v>45131</v>
      </c>
    </row>
    <row r="207" spans="1:4">
      <c r="A207" t="s">
        <v>1538</v>
      </c>
      <c r="B207" t="s">
        <v>1518</v>
      </c>
      <c r="C207">
        <v>163</v>
      </c>
      <c r="D207" s="2">
        <v>45132</v>
      </c>
    </row>
    <row r="208" spans="1:4">
      <c r="A208" t="s">
        <v>1538</v>
      </c>
      <c r="B208" t="s">
        <v>1515</v>
      </c>
      <c r="C208">
        <v>864</v>
      </c>
      <c r="D208" s="2">
        <v>45133</v>
      </c>
    </row>
    <row r="209" spans="1:4">
      <c r="A209" t="s">
        <v>1535</v>
      </c>
      <c r="B209" t="s">
        <v>1515</v>
      </c>
      <c r="C209">
        <v>5929</v>
      </c>
      <c r="D209" s="2">
        <v>45134</v>
      </c>
    </row>
    <row r="210" spans="1:4">
      <c r="A210" t="s">
        <v>1537</v>
      </c>
      <c r="B210" t="s">
        <v>1516</v>
      </c>
      <c r="C210">
        <v>6476</v>
      </c>
      <c r="D210" s="2">
        <v>45135</v>
      </c>
    </row>
    <row r="211" spans="1:4">
      <c r="A211" t="s">
        <v>1537</v>
      </c>
      <c r="B211" t="s">
        <v>1515</v>
      </c>
      <c r="C211">
        <v>8663</v>
      </c>
      <c r="D211" s="2">
        <v>45136</v>
      </c>
    </row>
    <row r="212" spans="1:4">
      <c r="A212" t="s">
        <v>1535</v>
      </c>
      <c r="B212" t="s">
        <v>1518</v>
      </c>
      <c r="C212">
        <v>7807</v>
      </c>
      <c r="D212" s="2">
        <v>45137</v>
      </c>
    </row>
    <row r="213" spans="1:4">
      <c r="A213" t="s">
        <v>1535</v>
      </c>
      <c r="B213" t="s">
        <v>1517</v>
      </c>
      <c r="C213">
        <v>1363</v>
      </c>
      <c r="D213" s="2">
        <v>45138</v>
      </c>
    </row>
    <row r="214" spans="1:4">
      <c r="A214" t="s">
        <v>1535</v>
      </c>
      <c r="B214" t="s">
        <v>1515</v>
      </c>
      <c r="C214">
        <v>4729</v>
      </c>
      <c r="D214" s="2">
        <v>45139</v>
      </c>
    </row>
    <row r="215" spans="1:4">
      <c r="A215" t="s">
        <v>1538</v>
      </c>
      <c r="B215" t="s">
        <v>1517</v>
      </c>
      <c r="C215">
        <v>7314</v>
      </c>
      <c r="D215" s="2">
        <v>45140</v>
      </c>
    </row>
    <row r="216" spans="1:4">
      <c r="A216" t="s">
        <v>1537</v>
      </c>
      <c r="B216" t="s">
        <v>1515</v>
      </c>
      <c r="C216">
        <v>468</v>
      </c>
      <c r="D216" s="2">
        <v>45141</v>
      </c>
    </row>
    <row r="217" spans="1:4">
      <c r="A217" t="s">
        <v>1537</v>
      </c>
      <c r="B217" t="s">
        <v>1516</v>
      </c>
      <c r="C217">
        <v>1261</v>
      </c>
      <c r="D217" s="2">
        <v>45142</v>
      </c>
    </row>
    <row r="218" spans="1:4">
      <c r="A218" t="s">
        <v>1537</v>
      </c>
      <c r="B218" t="s">
        <v>1517</v>
      </c>
      <c r="C218">
        <v>3445</v>
      </c>
      <c r="D218" s="2">
        <v>45143</v>
      </c>
    </row>
    <row r="219" spans="1:4">
      <c r="A219" t="s">
        <v>1537</v>
      </c>
      <c r="B219" t="s">
        <v>1515</v>
      </c>
      <c r="C219">
        <v>2067</v>
      </c>
      <c r="D219" s="2">
        <v>45144</v>
      </c>
    </row>
    <row r="220" spans="1:4">
      <c r="A220" t="s">
        <v>1535</v>
      </c>
      <c r="B220" t="s">
        <v>1518</v>
      </c>
      <c r="C220">
        <v>8385</v>
      </c>
      <c r="D220" s="2">
        <v>45145</v>
      </c>
    </row>
    <row r="221" spans="1:4">
      <c r="A221" t="s">
        <v>1537</v>
      </c>
      <c r="B221" t="s">
        <v>1518</v>
      </c>
      <c r="C221">
        <v>2241</v>
      </c>
      <c r="D221" s="2">
        <v>45146</v>
      </c>
    </row>
    <row r="222" spans="1:4">
      <c r="A222" t="s">
        <v>1537</v>
      </c>
      <c r="B222" t="s">
        <v>1514</v>
      </c>
      <c r="C222">
        <v>8696</v>
      </c>
      <c r="D222" s="2">
        <v>45147</v>
      </c>
    </row>
    <row r="223" spans="1:4">
      <c r="A223" t="s">
        <v>1538</v>
      </c>
      <c r="B223" t="s">
        <v>1517</v>
      </c>
      <c r="C223">
        <v>8550</v>
      </c>
      <c r="D223" s="2">
        <v>45148</v>
      </c>
    </row>
    <row r="224" spans="1:4">
      <c r="A224" t="s">
        <v>1536</v>
      </c>
      <c r="B224" t="s">
        <v>1518</v>
      </c>
      <c r="C224">
        <v>1185</v>
      </c>
      <c r="D224" s="2">
        <v>45149</v>
      </c>
    </row>
    <row r="225" spans="1:4">
      <c r="A225" t="s">
        <v>1536</v>
      </c>
      <c r="B225" t="s">
        <v>1518</v>
      </c>
      <c r="C225">
        <v>8576</v>
      </c>
      <c r="D225" s="2">
        <v>45150</v>
      </c>
    </row>
    <row r="226" spans="1:4">
      <c r="A226" t="s">
        <v>1535</v>
      </c>
      <c r="B226" t="s">
        <v>1516</v>
      </c>
      <c r="C226">
        <v>3847</v>
      </c>
      <c r="D226" s="2">
        <v>45151</v>
      </c>
    </row>
    <row r="227" spans="1:4">
      <c r="A227" t="s">
        <v>1536</v>
      </c>
      <c r="B227" t="s">
        <v>1517</v>
      </c>
      <c r="C227">
        <v>461</v>
      </c>
      <c r="D227" s="2">
        <v>45152</v>
      </c>
    </row>
    <row r="228" spans="1:4">
      <c r="A228" t="s">
        <v>1537</v>
      </c>
      <c r="B228" t="s">
        <v>1516</v>
      </c>
      <c r="C228">
        <v>7945</v>
      </c>
      <c r="D228" s="2">
        <v>45153</v>
      </c>
    </row>
    <row r="229" spans="1:4">
      <c r="A229" t="s">
        <v>1538</v>
      </c>
      <c r="B229" t="s">
        <v>1518</v>
      </c>
      <c r="C229">
        <v>2401</v>
      </c>
      <c r="D229" s="2">
        <v>45154</v>
      </c>
    </row>
    <row r="230" spans="1:4">
      <c r="A230" t="s">
        <v>1538</v>
      </c>
      <c r="B230" t="s">
        <v>1514</v>
      </c>
      <c r="C230">
        <v>6758</v>
      </c>
      <c r="D230" s="2">
        <v>45155</v>
      </c>
    </row>
    <row r="231" spans="1:4">
      <c r="A231" t="s">
        <v>1538</v>
      </c>
      <c r="B231" t="s">
        <v>1515</v>
      </c>
      <c r="C231">
        <v>2594</v>
      </c>
      <c r="D231" s="2">
        <v>45156</v>
      </c>
    </row>
    <row r="232" spans="1:4">
      <c r="A232" t="s">
        <v>1537</v>
      </c>
      <c r="B232" t="s">
        <v>1518</v>
      </c>
      <c r="C232">
        <v>9210</v>
      </c>
      <c r="D232" s="2">
        <v>45157</v>
      </c>
    </row>
    <row r="233" spans="1:4">
      <c r="A233" t="s">
        <v>1537</v>
      </c>
      <c r="B233" t="s">
        <v>1514</v>
      </c>
      <c r="C233">
        <v>4361</v>
      </c>
      <c r="D233" s="2">
        <v>45158</v>
      </c>
    </row>
    <row r="234" spans="1:4">
      <c r="A234" t="s">
        <v>1535</v>
      </c>
      <c r="B234" t="s">
        <v>1516</v>
      </c>
      <c r="C234">
        <v>8181</v>
      </c>
      <c r="D234" s="2">
        <v>45159</v>
      </c>
    </row>
    <row r="235" spans="1:4">
      <c r="A235" t="s">
        <v>1537</v>
      </c>
      <c r="B235" t="s">
        <v>1514</v>
      </c>
      <c r="C235">
        <v>5243</v>
      </c>
      <c r="D235" s="2">
        <v>45160</v>
      </c>
    </row>
    <row r="236" spans="1:4">
      <c r="A236" t="s">
        <v>1536</v>
      </c>
      <c r="B236" t="s">
        <v>1518</v>
      </c>
      <c r="C236">
        <v>2200</v>
      </c>
      <c r="D236" s="2">
        <v>45161</v>
      </c>
    </row>
    <row r="237" spans="1:4">
      <c r="A237" t="s">
        <v>1537</v>
      </c>
      <c r="B237" t="s">
        <v>1514</v>
      </c>
      <c r="C237">
        <v>4436</v>
      </c>
      <c r="D237" s="2">
        <v>45162</v>
      </c>
    </row>
    <row r="238" spans="1:4">
      <c r="A238" t="s">
        <v>1535</v>
      </c>
      <c r="B238" t="s">
        <v>1516</v>
      </c>
      <c r="C238">
        <v>2452</v>
      </c>
      <c r="D238" s="2">
        <v>45163</v>
      </c>
    </row>
    <row r="239" spans="1:4">
      <c r="A239" t="s">
        <v>1536</v>
      </c>
      <c r="B239" t="s">
        <v>1517</v>
      </c>
      <c r="C239">
        <v>8540</v>
      </c>
      <c r="D239" s="2">
        <v>45164</v>
      </c>
    </row>
    <row r="240" spans="1:4">
      <c r="A240" t="s">
        <v>1537</v>
      </c>
      <c r="B240" t="s">
        <v>1516</v>
      </c>
      <c r="C240">
        <v>4776</v>
      </c>
      <c r="D240" s="2">
        <v>45165</v>
      </c>
    </row>
    <row r="241" spans="1:4">
      <c r="A241" t="s">
        <v>1538</v>
      </c>
      <c r="B241" t="s">
        <v>1516</v>
      </c>
      <c r="C241">
        <v>2121</v>
      </c>
      <c r="D241" s="2">
        <v>45166</v>
      </c>
    </row>
    <row r="242" spans="1:4">
      <c r="A242" t="s">
        <v>1537</v>
      </c>
      <c r="B242" t="s">
        <v>1517</v>
      </c>
      <c r="C242">
        <v>7872</v>
      </c>
      <c r="D242" s="2">
        <v>45167</v>
      </c>
    </row>
    <row r="243" spans="1:4">
      <c r="A243" t="s">
        <v>1535</v>
      </c>
      <c r="B243" t="s">
        <v>1516</v>
      </c>
      <c r="C243">
        <v>1569</v>
      </c>
      <c r="D243" s="2">
        <v>45168</v>
      </c>
    </row>
    <row r="244" spans="1:4">
      <c r="A244" t="s">
        <v>1535</v>
      </c>
      <c r="B244" t="s">
        <v>1516</v>
      </c>
      <c r="C244">
        <v>1160</v>
      </c>
      <c r="D244" s="2">
        <v>45169</v>
      </c>
    </row>
    <row r="245" spans="1:4">
      <c r="A245" t="s">
        <v>1537</v>
      </c>
      <c r="B245" t="s">
        <v>1518</v>
      </c>
      <c r="C245">
        <v>3426</v>
      </c>
      <c r="D245" s="2">
        <v>45170</v>
      </c>
    </row>
    <row r="246" spans="1:4">
      <c r="A246" t="s">
        <v>1536</v>
      </c>
      <c r="B246" t="s">
        <v>1518</v>
      </c>
      <c r="C246">
        <v>5185</v>
      </c>
      <c r="D246" s="2">
        <v>45171</v>
      </c>
    </row>
    <row r="247" spans="1:4">
      <c r="A247" t="s">
        <v>1535</v>
      </c>
      <c r="B247" t="s">
        <v>1515</v>
      </c>
      <c r="C247">
        <v>3609</v>
      </c>
      <c r="D247" s="2">
        <v>45172</v>
      </c>
    </row>
    <row r="248" spans="1:4">
      <c r="A248" t="s">
        <v>1535</v>
      </c>
      <c r="B248" t="s">
        <v>1517</v>
      </c>
      <c r="C248">
        <v>2005</v>
      </c>
      <c r="D248" s="2">
        <v>45173</v>
      </c>
    </row>
    <row r="249" spans="1:4">
      <c r="A249" t="s">
        <v>1538</v>
      </c>
      <c r="B249" t="s">
        <v>1515</v>
      </c>
      <c r="C249">
        <v>424</v>
      </c>
      <c r="D249" s="2">
        <v>45174</v>
      </c>
    </row>
    <row r="250" spans="1:4">
      <c r="A250" t="s">
        <v>1538</v>
      </c>
      <c r="B250" t="s">
        <v>1516</v>
      </c>
      <c r="C250">
        <v>8713</v>
      </c>
      <c r="D250" s="2">
        <v>45175</v>
      </c>
    </row>
    <row r="251" spans="1:4">
      <c r="A251" t="s">
        <v>1537</v>
      </c>
      <c r="B251" t="s">
        <v>1517</v>
      </c>
      <c r="C251">
        <v>9876</v>
      </c>
      <c r="D251" s="2">
        <v>45176</v>
      </c>
    </row>
    <row r="252" spans="1:4">
      <c r="A252" t="s">
        <v>1537</v>
      </c>
      <c r="B252" t="s">
        <v>1514</v>
      </c>
      <c r="C252">
        <v>3999</v>
      </c>
      <c r="D252" s="2">
        <v>45177</v>
      </c>
    </row>
    <row r="253" spans="1:4">
      <c r="A253" t="s">
        <v>1538</v>
      </c>
      <c r="B253" t="s">
        <v>1514</v>
      </c>
      <c r="C253">
        <v>6173</v>
      </c>
      <c r="D253" s="2">
        <v>45178</v>
      </c>
    </row>
    <row r="254" spans="1:4">
      <c r="A254" t="s">
        <v>1538</v>
      </c>
      <c r="B254" t="s">
        <v>1515</v>
      </c>
      <c r="C254">
        <v>3155</v>
      </c>
      <c r="D254" s="2">
        <v>45179</v>
      </c>
    </row>
    <row r="255" spans="1:4">
      <c r="A255" t="s">
        <v>1537</v>
      </c>
      <c r="B255" t="s">
        <v>1514</v>
      </c>
      <c r="C255">
        <v>131</v>
      </c>
      <c r="D255" s="2">
        <v>45180</v>
      </c>
    </row>
    <row r="256" spans="1:4">
      <c r="A256" t="s">
        <v>1538</v>
      </c>
      <c r="B256" t="s">
        <v>1515</v>
      </c>
      <c r="C256">
        <v>2467</v>
      </c>
      <c r="D256" s="2">
        <v>45181</v>
      </c>
    </row>
    <row r="257" spans="1:4">
      <c r="A257" t="s">
        <v>1537</v>
      </c>
      <c r="B257" t="s">
        <v>1517</v>
      </c>
      <c r="C257">
        <v>2772</v>
      </c>
      <c r="D257" s="2">
        <v>45182</v>
      </c>
    </row>
    <row r="258" spans="1:4">
      <c r="A258" t="s">
        <v>1538</v>
      </c>
      <c r="B258" t="s">
        <v>1516</v>
      </c>
      <c r="C258">
        <v>4592</v>
      </c>
      <c r="D258" s="2">
        <v>45183</v>
      </c>
    </row>
    <row r="259" spans="1:4">
      <c r="A259" t="s">
        <v>1538</v>
      </c>
      <c r="B259" t="s">
        <v>1515</v>
      </c>
      <c r="C259">
        <v>6873</v>
      </c>
      <c r="D259" s="2">
        <v>45184</v>
      </c>
    </row>
    <row r="260" spans="1:4">
      <c r="A260" t="s">
        <v>1538</v>
      </c>
      <c r="B260" t="s">
        <v>1517</v>
      </c>
      <c r="C260">
        <v>7869</v>
      </c>
      <c r="D260" s="2">
        <v>45185</v>
      </c>
    </row>
    <row r="261" spans="1:4">
      <c r="A261" t="s">
        <v>1538</v>
      </c>
      <c r="B261" t="s">
        <v>1515</v>
      </c>
      <c r="C261">
        <v>6046</v>
      </c>
      <c r="D261" s="2">
        <v>45186</v>
      </c>
    </row>
    <row r="262" spans="1:4">
      <c r="A262" t="s">
        <v>1535</v>
      </c>
      <c r="B262" t="s">
        <v>1517</v>
      </c>
      <c r="C262">
        <v>7151</v>
      </c>
      <c r="D262" s="2">
        <v>45187</v>
      </c>
    </row>
    <row r="263" spans="1:4">
      <c r="A263" t="s">
        <v>1535</v>
      </c>
      <c r="B263" t="s">
        <v>1517</v>
      </c>
      <c r="C263">
        <v>4381</v>
      </c>
      <c r="D263" s="2">
        <v>45188</v>
      </c>
    </row>
    <row r="264" spans="1:4">
      <c r="A264" t="s">
        <v>1535</v>
      </c>
      <c r="B264" t="s">
        <v>1517</v>
      </c>
      <c r="C264">
        <v>2431</v>
      </c>
      <c r="D264" s="2">
        <v>45189</v>
      </c>
    </row>
    <row r="265" spans="1:4">
      <c r="A265" t="s">
        <v>1537</v>
      </c>
      <c r="B265" t="s">
        <v>1516</v>
      </c>
      <c r="C265">
        <v>582</v>
      </c>
      <c r="D265" s="2">
        <v>45190</v>
      </c>
    </row>
    <row r="266" spans="1:4">
      <c r="A266" t="s">
        <v>1536</v>
      </c>
      <c r="B266" t="s">
        <v>1515</v>
      </c>
      <c r="C266">
        <v>2748</v>
      </c>
      <c r="D266" s="2">
        <v>45191</v>
      </c>
    </row>
    <row r="267" spans="1:4">
      <c r="A267" t="s">
        <v>1536</v>
      </c>
      <c r="B267" t="s">
        <v>1516</v>
      </c>
      <c r="C267">
        <v>4341</v>
      </c>
      <c r="D267" s="2">
        <v>45192</v>
      </c>
    </row>
    <row r="268" spans="1:4">
      <c r="A268" t="s">
        <v>1535</v>
      </c>
      <c r="B268" t="s">
        <v>1518</v>
      </c>
      <c r="C268">
        <v>5575</v>
      </c>
      <c r="D268" s="2">
        <v>45193</v>
      </c>
    </row>
    <row r="269" spans="1:4">
      <c r="A269" t="s">
        <v>1535</v>
      </c>
      <c r="B269" t="s">
        <v>1518</v>
      </c>
      <c r="C269">
        <v>9329</v>
      </c>
      <c r="D269" s="2">
        <v>45194</v>
      </c>
    </row>
    <row r="270" spans="1:4">
      <c r="A270" t="s">
        <v>1535</v>
      </c>
      <c r="B270" t="s">
        <v>1518</v>
      </c>
      <c r="C270">
        <v>4010</v>
      </c>
      <c r="D270" s="2">
        <v>45195</v>
      </c>
    </row>
    <row r="271" spans="1:4">
      <c r="A271" t="s">
        <v>1536</v>
      </c>
      <c r="B271" t="s">
        <v>1515</v>
      </c>
      <c r="C271">
        <v>7185</v>
      </c>
      <c r="D271" s="2">
        <v>45196</v>
      </c>
    </row>
    <row r="272" spans="1:4">
      <c r="A272" t="s">
        <v>1535</v>
      </c>
      <c r="B272" t="s">
        <v>1517</v>
      </c>
      <c r="C272">
        <v>7921</v>
      </c>
      <c r="D272" s="2">
        <v>45197</v>
      </c>
    </row>
    <row r="273" spans="1:4">
      <c r="A273" t="s">
        <v>1536</v>
      </c>
      <c r="B273" t="s">
        <v>1518</v>
      </c>
      <c r="C273">
        <v>2506</v>
      </c>
      <c r="D273" s="2">
        <v>45198</v>
      </c>
    </row>
    <row r="274" spans="1:4">
      <c r="A274" t="s">
        <v>1538</v>
      </c>
      <c r="B274" t="s">
        <v>1518</v>
      </c>
      <c r="C274">
        <v>5636</v>
      </c>
      <c r="D274" s="2">
        <v>45199</v>
      </c>
    </row>
    <row r="275" spans="1:4">
      <c r="A275" t="s">
        <v>1535</v>
      </c>
      <c r="B275" t="s">
        <v>1515</v>
      </c>
      <c r="C275">
        <v>3547</v>
      </c>
      <c r="D275" s="2">
        <v>45200</v>
      </c>
    </row>
    <row r="276" spans="1:4">
      <c r="A276" t="s">
        <v>1537</v>
      </c>
      <c r="B276" t="s">
        <v>1514</v>
      </c>
      <c r="C276">
        <v>4451</v>
      </c>
      <c r="D276" s="2">
        <v>45201</v>
      </c>
    </row>
    <row r="277" spans="1:4">
      <c r="A277" t="s">
        <v>1538</v>
      </c>
      <c r="B277" t="s">
        <v>1515</v>
      </c>
      <c r="C277">
        <v>932</v>
      </c>
      <c r="D277" s="2">
        <v>45202</v>
      </c>
    </row>
    <row r="278" spans="1:4">
      <c r="A278" t="s">
        <v>1537</v>
      </c>
      <c r="B278" t="s">
        <v>1514</v>
      </c>
      <c r="C278">
        <v>9157</v>
      </c>
      <c r="D278" s="2">
        <v>45203</v>
      </c>
    </row>
    <row r="279" spans="1:4">
      <c r="A279" t="s">
        <v>1535</v>
      </c>
      <c r="B279" t="s">
        <v>1518</v>
      </c>
      <c r="C279">
        <v>4960</v>
      </c>
      <c r="D279" s="2">
        <v>45204</v>
      </c>
    </row>
    <row r="280" spans="1:4">
      <c r="A280" t="s">
        <v>1538</v>
      </c>
      <c r="B280" t="s">
        <v>1514</v>
      </c>
      <c r="C280">
        <v>3916</v>
      </c>
      <c r="D280" s="2">
        <v>45205</v>
      </c>
    </row>
    <row r="281" spans="1:4">
      <c r="A281" t="s">
        <v>1535</v>
      </c>
      <c r="B281" t="s">
        <v>1515</v>
      </c>
      <c r="C281">
        <v>6439</v>
      </c>
      <c r="D281" s="2">
        <v>45206</v>
      </c>
    </row>
    <row r="282" spans="1:4">
      <c r="A282" t="s">
        <v>1537</v>
      </c>
      <c r="B282" t="s">
        <v>1514</v>
      </c>
      <c r="C282">
        <v>5685</v>
      </c>
      <c r="D282" s="2">
        <v>45207</v>
      </c>
    </row>
    <row r="283" spans="1:4">
      <c r="A283" t="s">
        <v>1538</v>
      </c>
      <c r="B283" t="s">
        <v>1518</v>
      </c>
      <c r="C283">
        <v>2800</v>
      </c>
      <c r="D283" s="2">
        <v>45208</v>
      </c>
    </row>
    <row r="284" spans="1:4">
      <c r="A284" t="s">
        <v>1536</v>
      </c>
      <c r="B284" t="s">
        <v>1518</v>
      </c>
      <c r="C284">
        <v>9266</v>
      </c>
      <c r="D284" s="2">
        <v>45209</v>
      </c>
    </row>
    <row r="285" spans="1:4">
      <c r="A285" t="s">
        <v>1535</v>
      </c>
      <c r="B285" t="s">
        <v>1517</v>
      </c>
      <c r="C285">
        <v>3198</v>
      </c>
      <c r="D285" s="2">
        <v>45210</v>
      </c>
    </row>
    <row r="286" spans="1:4">
      <c r="A286" t="s">
        <v>1538</v>
      </c>
      <c r="B286" t="s">
        <v>1516</v>
      </c>
      <c r="C286">
        <v>2725</v>
      </c>
      <c r="D286" s="2">
        <v>45211</v>
      </c>
    </row>
    <row r="287" spans="1:4">
      <c r="A287" t="s">
        <v>1538</v>
      </c>
      <c r="B287" t="s">
        <v>1514</v>
      </c>
      <c r="C287">
        <v>873</v>
      </c>
      <c r="D287" s="2">
        <v>45212</v>
      </c>
    </row>
    <row r="288" spans="1:4">
      <c r="A288" t="s">
        <v>1537</v>
      </c>
      <c r="B288" t="s">
        <v>1514</v>
      </c>
      <c r="C288">
        <v>3896</v>
      </c>
      <c r="D288" s="2">
        <v>45213</v>
      </c>
    </row>
    <row r="289" spans="1:4">
      <c r="A289" t="s">
        <v>1536</v>
      </c>
      <c r="B289" t="s">
        <v>1517</v>
      </c>
      <c r="C289">
        <v>4291</v>
      </c>
      <c r="D289" s="2">
        <v>45214</v>
      </c>
    </row>
    <row r="290" spans="1:4">
      <c r="A290" t="s">
        <v>1538</v>
      </c>
      <c r="B290" t="s">
        <v>1516</v>
      </c>
      <c r="C290">
        <v>600</v>
      </c>
      <c r="D290" s="2">
        <v>45215</v>
      </c>
    </row>
    <row r="291" spans="1:4">
      <c r="A291" t="s">
        <v>1535</v>
      </c>
      <c r="B291" t="s">
        <v>1517</v>
      </c>
      <c r="C291">
        <v>9826</v>
      </c>
      <c r="D291" s="2">
        <v>45216</v>
      </c>
    </row>
    <row r="292" spans="1:4">
      <c r="A292" t="s">
        <v>1535</v>
      </c>
      <c r="B292" t="s">
        <v>1517</v>
      </c>
      <c r="C292">
        <v>9485</v>
      </c>
      <c r="D292" s="2">
        <v>45217</v>
      </c>
    </row>
    <row r="293" spans="1:4">
      <c r="A293" t="s">
        <v>1537</v>
      </c>
      <c r="B293" t="s">
        <v>1516</v>
      </c>
      <c r="C293">
        <v>8626</v>
      </c>
      <c r="D293" s="2">
        <v>45218</v>
      </c>
    </row>
    <row r="294" spans="1:4">
      <c r="A294" t="s">
        <v>1537</v>
      </c>
      <c r="B294" t="s">
        <v>1515</v>
      </c>
      <c r="C294">
        <v>6647</v>
      </c>
      <c r="D294" s="2">
        <v>45219</v>
      </c>
    </row>
    <row r="295" spans="1:4">
      <c r="A295" t="s">
        <v>1538</v>
      </c>
      <c r="B295" t="s">
        <v>1514</v>
      </c>
      <c r="C295">
        <v>8898</v>
      </c>
      <c r="D295" s="2">
        <v>45220</v>
      </c>
    </row>
    <row r="296" spans="1:4">
      <c r="A296" t="s">
        <v>1536</v>
      </c>
      <c r="B296" t="s">
        <v>1516</v>
      </c>
      <c r="C296">
        <v>5365</v>
      </c>
      <c r="D296" s="2">
        <v>45221</v>
      </c>
    </row>
    <row r="297" spans="1:4">
      <c r="A297" t="s">
        <v>1538</v>
      </c>
      <c r="B297" t="s">
        <v>1517</v>
      </c>
      <c r="C297">
        <v>9947</v>
      </c>
      <c r="D297" s="2">
        <v>45222</v>
      </c>
    </row>
    <row r="298" spans="1:4">
      <c r="A298" t="s">
        <v>1538</v>
      </c>
      <c r="B298" t="s">
        <v>1517</v>
      </c>
      <c r="C298">
        <v>9498</v>
      </c>
      <c r="D298" s="2">
        <v>45223</v>
      </c>
    </row>
    <row r="299" spans="1:4">
      <c r="A299" t="s">
        <v>1536</v>
      </c>
      <c r="B299" t="s">
        <v>1517</v>
      </c>
      <c r="C299">
        <v>6623</v>
      </c>
      <c r="D299" s="2">
        <v>45224</v>
      </c>
    </row>
    <row r="300" spans="1:4">
      <c r="A300" t="s">
        <v>1537</v>
      </c>
      <c r="B300" t="s">
        <v>1518</v>
      </c>
      <c r="C300">
        <v>1416</v>
      </c>
      <c r="D300" s="2">
        <v>45225</v>
      </c>
    </row>
    <row r="301" spans="1:4">
      <c r="A301" t="s">
        <v>1536</v>
      </c>
      <c r="B301" t="s">
        <v>1515</v>
      </c>
      <c r="C301">
        <v>2320</v>
      </c>
      <c r="D301" s="2">
        <v>45226</v>
      </c>
    </row>
    <row r="302" spans="1:4">
      <c r="A302" t="s">
        <v>1538</v>
      </c>
      <c r="B302" t="s">
        <v>1515</v>
      </c>
      <c r="C302">
        <v>6421</v>
      </c>
      <c r="D302" s="2">
        <v>45227</v>
      </c>
    </row>
    <row r="303" spans="1:4">
      <c r="A303" t="s">
        <v>1537</v>
      </c>
      <c r="B303" t="s">
        <v>1515</v>
      </c>
      <c r="C303">
        <v>9655</v>
      </c>
      <c r="D303" s="2">
        <v>45228</v>
      </c>
    </row>
    <row r="304" spans="1:4">
      <c r="A304" t="s">
        <v>1537</v>
      </c>
      <c r="B304" t="s">
        <v>1515</v>
      </c>
      <c r="C304">
        <v>4300</v>
      </c>
      <c r="D304" s="2">
        <v>45229</v>
      </c>
    </row>
    <row r="305" spans="1:4">
      <c r="A305" t="s">
        <v>1538</v>
      </c>
      <c r="B305" t="s">
        <v>1514</v>
      </c>
      <c r="C305">
        <v>424</v>
      </c>
      <c r="D305" s="2">
        <v>45230</v>
      </c>
    </row>
    <row r="306" spans="1:4">
      <c r="A306" t="s">
        <v>1536</v>
      </c>
      <c r="B306" t="s">
        <v>1518</v>
      </c>
      <c r="C306">
        <v>2872</v>
      </c>
      <c r="D306" s="2">
        <v>45231</v>
      </c>
    </row>
    <row r="307" spans="1:4">
      <c r="A307" t="s">
        <v>1536</v>
      </c>
      <c r="B307" t="s">
        <v>1517</v>
      </c>
      <c r="C307">
        <v>6656</v>
      </c>
      <c r="D307" s="2">
        <v>45232</v>
      </c>
    </row>
    <row r="308" spans="1:4">
      <c r="A308" t="s">
        <v>1536</v>
      </c>
      <c r="B308" t="s">
        <v>1515</v>
      </c>
      <c r="C308">
        <v>954</v>
      </c>
      <c r="D308" s="2">
        <v>45233</v>
      </c>
    </row>
    <row r="309" spans="1:4">
      <c r="A309" t="s">
        <v>1535</v>
      </c>
      <c r="B309" t="s">
        <v>1515</v>
      </c>
      <c r="C309">
        <v>8289</v>
      </c>
      <c r="D309" s="2">
        <v>45234</v>
      </c>
    </row>
    <row r="310" spans="1:4">
      <c r="A310" t="s">
        <v>1536</v>
      </c>
      <c r="B310" t="s">
        <v>1517</v>
      </c>
      <c r="C310">
        <v>8617</v>
      </c>
      <c r="D310" s="2">
        <v>45235</v>
      </c>
    </row>
    <row r="311" spans="1:4">
      <c r="A311" t="s">
        <v>1535</v>
      </c>
      <c r="B311" t="s">
        <v>1514</v>
      </c>
      <c r="C311">
        <v>1484</v>
      </c>
      <c r="D311" s="2">
        <v>45236</v>
      </c>
    </row>
    <row r="312" spans="1:4">
      <c r="A312" t="s">
        <v>1538</v>
      </c>
      <c r="B312" t="s">
        <v>1514</v>
      </c>
      <c r="C312">
        <v>8433</v>
      </c>
      <c r="D312" s="2">
        <v>45237</v>
      </c>
    </row>
    <row r="313" spans="1:4">
      <c r="A313" t="s">
        <v>1537</v>
      </c>
      <c r="B313" t="s">
        <v>1518</v>
      </c>
      <c r="C313">
        <v>8721</v>
      </c>
      <c r="D313" s="2">
        <v>45238</v>
      </c>
    </row>
    <row r="314" spans="1:4">
      <c r="A314" t="s">
        <v>1538</v>
      </c>
      <c r="B314" t="s">
        <v>1514</v>
      </c>
      <c r="C314">
        <v>4741</v>
      </c>
      <c r="D314" s="2">
        <v>45239</v>
      </c>
    </row>
    <row r="315" spans="1:4">
      <c r="A315" t="s">
        <v>1538</v>
      </c>
      <c r="B315" t="s">
        <v>1518</v>
      </c>
      <c r="C315">
        <v>8573</v>
      </c>
      <c r="D315" s="2">
        <v>45240</v>
      </c>
    </row>
    <row r="316" spans="1:4">
      <c r="A316" t="s">
        <v>1536</v>
      </c>
      <c r="B316" t="s">
        <v>1518</v>
      </c>
      <c r="C316">
        <v>7189</v>
      </c>
      <c r="D316" s="2">
        <v>45241</v>
      </c>
    </row>
    <row r="317" spans="1:4">
      <c r="A317" t="s">
        <v>1536</v>
      </c>
      <c r="B317" t="s">
        <v>1516</v>
      </c>
      <c r="C317">
        <v>3231</v>
      </c>
      <c r="D317" s="2">
        <v>45242</v>
      </c>
    </row>
    <row r="318" spans="1:4">
      <c r="A318" t="s">
        <v>1537</v>
      </c>
      <c r="B318" t="s">
        <v>1514</v>
      </c>
      <c r="C318">
        <v>5520</v>
      </c>
      <c r="D318" s="2">
        <v>45243</v>
      </c>
    </row>
    <row r="319" spans="1:4">
      <c r="A319" t="s">
        <v>1538</v>
      </c>
      <c r="B319" t="s">
        <v>1515</v>
      </c>
      <c r="C319">
        <v>3389</v>
      </c>
      <c r="D319" s="2">
        <v>45244</v>
      </c>
    </row>
    <row r="320" spans="1:4">
      <c r="A320" t="s">
        <v>1535</v>
      </c>
      <c r="B320" t="s">
        <v>1518</v>
      </c>
      <c r="C320">
        <v>5420</v>
      </c>
      <c r="D320" s="2">
        <v>45245</v>
      </c>
    </row>
    <row r="321" spans="1:4">
      <c r="A321" t="s">
        <v>1537</v>
      </c>
      <c r="B321" t="s">
        <v>1518</v>
      </c>
      <c r="C321">
        <v>6327</v>
      </c>
      <c r="D321" s="2">
        <v>45246</v>
      </c>
    </row>
    <row r="322" spans="1:4">
      <c r="A322" t="s">
        <v>1537</v>
      </c>
      <c r="B322" t="s">
        <v>1516</v>
      </c>
      <c r="C322">
        <v>739</v>
      </c>
      <c r="D322" s="2">
        <v>45247</v>
      </c>
    </row>
    <row r="323" spans="1:4">
      <c r="A323" t="s">
        <v>1537</v>
      </c>
      <c r="B323" t="s">
        <v>1515</v>
      </c>
      <c r="C323">
        <v>9177</v>
      </c>
      <c r="D323" s="2">
        <v>45248</v>
      </c>
    </row>
    <row r="324" spans="1:4">
      <c r="A324" t="s">
        <v>1535</v>
      </c>
      <c r="B324" t="s">
        <v>1514</v>
      </c>
      <c r="C324">
        <v>871</v>
      </c>
      <c r="D324" s="2">
        <v>45249</v>
      </c>
    </row>
    <row r="325" spans="1:4">
      <c r="A325" t="s">
        <v>1538</v>
      </c>
      <c r="B325" t="s">
        <v>1515</v>
      </c>
      <c r="C325">
        <v>6965</v>
      </c>
      <c r="D325" s="2">
        <v>45250</v>
      </c>
    </row>
    <row r="326" spans="1:4">
      <c r="A326" t="s">
        <v>1537</v>
      </c>
      <c r="B326" t="s">
        <v>1518</v>
      </c>
      <c r="C326">
        <v>7138</v>
      </c>
      <c r="D326" s="2">
        <v>45251</v>
      </c>
    </row>
    <row r="327" spans="1:4">
      <c r="A327" t="s">
        <v>1538</v>
      </c>
      <c r="B327" t="s">
        <v>1515</v>
      </c>
      <c r="C327">
        <v>1674</v>
      </c>
      <c r="D327" s="2">
        <v>45252</v>
      </c>
    </row>
    <row r="328" spans="1:4">
      <c r="A328" t="s">
        <v>1536</v>
      </c>
      <c r="B328" t="s">
        <v>1516</v>
      </c>
      <c r="C328">
        <v>1298</v>
      </c>
      <c r="D328" s="2">
        <v>45253</v>
      </c>
    </row>
    <row r="329" spans="1:4">
      <c r="A329" t="s">
        <v>1537</v>
      </c>
      <c r="B329" t="s">
        <v>1516</v>
      </c>
      <c r="C329">
        <v>9893</v>
      </c>
      <c r="D329" s="2">
        <v>45254</v>
      </c>
    </row>
    <row r="330" spans="1:4">
      <c r="A330" t="s">
        <v>1535</v>
      </c>
      <c r="B330" t="s">
        <v>1515</v>
      </c>
      <c r="C330">
        <v>2096</v>
      </c>
      <c r="D330" s="2">
        <v>45255</v>
      </c>
    </row>
    <row r="331" spans="1:4">
      <c r="A331" t="s">
        <v>1538</v>
      </c>
      <c r="B331" t="s">
        <v>1518</v>
      </c>
      <c r="C331">
        <v>6529</v>
      </c>
      <c r="D331" s="2">
        <v>45256</v>
      </c>
    </row>
    <row r="332" spans="1:4">
      <c r="A332" t="s">
        <v>1537</v>
      </c>
      <c r="B332" t="s">
        <v>1516</v>
      </c>
      <c r="C332">
        <v>5808</v>
      </c>
      <c r="D332" s="2">
        <v>45257</v>
      </c>
    </row>
    <row r="333" spans="1:4">
      <c r="A333" t="s">
        <v>1538</v>
      </c>
      <c r="B333" t="s">
        <v>1516</v>
      </c>
      <c r="C333">
        <v>2990</v>
      </c>
      <c r="D333" s="2">
        <v>45258</v>
      </c>
    </row>
    <row r="334" spans="1:4">
      <c r="A334" t="s">
        <v>1537</v>
      </c>
      <c r="B334" t="s">
        <v>1517</v>
      </c>
      <c r="C334">
        <v>985</v>
      </c>
      <c r="D334" s="2">
        <v>45259</v>
      </c>
    </row>
    <row r="335" spans="1:4">
      <c r="A335" t="s">
        <v>1537</v>
      </c>
      <c r="B335" t="s">
        <v>1515</v>
      </c>
      <c r="C335">
        <v>7309</v>
      </c>
      <c r="D335" s="2">
        <v>45260</v>
      </c>
    </row>
    <row r="336" spans="1:4">
      <c r="A336" t="s">
        <v>1536</v>
      </c>
      <c r="B336" t="s">
        <v>1517</v>
      </c>
      <c r="C336">
        <v>6721</v>
      </c>
      <c r="D336" s="2">
        <v>45261</v>
      </c>
    </row>
    <row r="337" spans="1:4">
      <c r="A337" t="s">
        <v>1538</v>
      </c>
      <c r="B337" t="s">
        <v>1515</v>
      </c>
      <c r="C337">
        <v>6977</v>
      </c>
      <c r="D337" s="2">
        <v>45262</v>
      </c>
    </row>
    <row r="338" spans="1:4">
      <c r="A338" t="s">
        <v>1538</v>
      </c>
      <c r="B338" t="s">
        <v>1518</v>
      </c>
      <c r="C338">
        <v>7902</v>
      </c>
      <c r="D338" s="2">
        <v>45263</v>
      </c>
    </row>
    <row r="339" spans="1:4">
      <c r="A339" t="s">
        <v>1537</v>
      </c>
      <c r="B339" t="s">
        <v>1515</v>
      </c>
      <c r="C339">
        <v>1761</v>
      </c>
      <c r="D339" s="2">
        <v>45264</v>
      </c>
    </row>
    <row r="340" spans="1:4">
      <c r="A340" t="s">
        <v>1536</v>
      </c>
      <c r="B340" t="s">
        <v>1515</v>
      </c>
      <c r="C340">
        <v>4037</v>
      </c>
      <c r="D340" s="2">
        <v>45265</v>
      </c>
    </row>
    <row r="341" spans="1:4">
      <c r="A341" t="s">
        <v>1535</v>
      </c>
      <c r="B341" t="s">
        <v>1517</v>
      </c>
      <c r="C341">
        <v>4682</v>
      </c>
      <c r="D341" s="2">
        <v>45266</v>
      </c>
    </row>
    <row r="342" spans="1:4">
      <c r="A342" t="s">
        <v>1538</v>
      </c>
      <c r="B342" t="s">
        <v>1514</v>
      </c>
      <c r="C342">
        <v>6188</v>
      </c>
      <c r="D342" s="2">
        <v>45267</v>
      </c>
    </row>
    <row r="343" spans="1:4">
      <c r="A343" t="s">
        <v>1537</v>
      </c>
      <c r="B343" t="s">
        <v>1515</v>
      </c>
      <c r="C343">
        <v>2203</v>
      </c>
      <c r="D343" s="2">
        <v>45268</v>
      </c>
    </row>
    <row r="344" spans="1:4">
      <c r="A344" t="s">
        <v>1537</v>
      </c>
      <c r="B344" t="s">
        <v>1518</v>
      </c>
      <c r="C344">
        <v>3377</v>
      </c>
      <c r="D344" s="2">
        <v>45269</v>
      </c>
    </row>
    <row r="345" spans="1:4">
      <c r="A345" t="s">
        <v>1536</v>
      </c>
      <c r="B345" t="s">
        <v>1518</v>
      </c>
      <c r="C345">
        <v>5005</v>
      </c>
      <c r="D345" s="2">
        <v>45270</v>
      </c>
    </row>
    <row r="346" spans="1:4">
      <c r="A346" t="s">
        <v>1537</v>
      </c>
      <c r="B346" t="s">
        <v>1515</v>
      </c>
      <c r="C346">
        <v>6632</v>
      </c>
      <c r="D346" s="2">
        <v>45271</v>
      </c>
    </row>
    <row r="347" spans="1:4">
      <c r="A347" t="s">
        <v>1537</v>
      </c>
      <c r="B347" t="s">
        <v>1515</v>
      </c>
      <c r="C347">
        <v>6783</v>
      </c>
      <c r="D347" s="2">
        <v>45272</v>
      </c>
    </row>
    <row r="348" spans="1:4">
      <c r="A348" t="s">
        <v>1535</v>
      </c>
      <c r="B348" t="s">
        <v>1515</v>
      </c>
      <c r="C348">
        <v>4939</v>
      </c>
      <c r="D348" s="2">
        <v>45273</v>
      </c>
    </row>
    <row r="349" spans="1:4">
      <c r="A349" t="s">
        <v>1538</v>
      </c>
      <c r="B349" t="s">
        <v>1515</v>
      </c>
      <c r="C349">
        <v>6724</v>
      </c>
      <c r="D349" s="2">
        <v>45274</v>
      </c>
    </row>
    <row r="350" spans="1:4">
      <c r="A350" t="s">
        <v>1536</v>
      </c>
      <c r="B350" t="s">
        <v>1516</v>
      </c>
      <c r="C350">
        <v>7319</v>
      </c>
      <c r="D350" s="2">
        <v>45275</v>
      </c>
    </row>
    <row r="351" spans="1:4">
      <c r="A351" t="s">
        <v>1538</v>
      </c>
      <c r="B351" t="s">
        <v>1518</v>
      </c>
      <c r="C351">
        <v>1489</v>
      </c>
      <c r="D351" s="2">
        <v>45276</v>
      </c>
    </row>
    <row r="352" spans="1:4">
      <c r="A352" t="s">
        <v>1536</v>
      </c>
      <c r="B352" t="s">
        <v>1515</v>
      </c>
      <c r="C352">
        <v>7101</v>
      </c>
      <c r="D352" s="2">
        <v>45277</v>
      </c>
    </row>
    <row r="353" spans="1:4">
      <c r="A353" t="s">
        <v>1537</v>
      </c>
      <c r="B353" t="s">
        <v>1514</v>
      </c>
      <c r="C353">
        <v>2666</v>
      </c>
      <c r="D353" s="2">
        <v>45278</v>
      </c>
    </row>
    <row r="354" spans="1:4">
      <c r="A354" t="s">
        <v>1535</v>
      </c>
      <c r="B354" t="s">
        <v>1516</v>
      </c>
      <c r="C354">
        <v>8493</v>
      </c>
      <c r="D354" s="2">
        <v>45279</v>
      </c>
    </row>
    <row r="355" spans="1:4">
      <c r="A355" t="s">
        <v>1538</v>
      </c>
      <c r="B355" t="s">
        <v>1515</v>
      </c>
      <c r="C355">
        <v>6235</v>
      </c>
      <c r="D355" s="2">
        <v>45280</v>
      </c>
    </row>
    <row r="356" spans="1:4">
      <c r="A356" t="s">
        <v>1535</v>
      </c>
      <c r="B356" t="s">
        <v>1518</v>
      </c>
      <c r="C356">
        <v>5274</v>
      </c>
      <c r="D356" s="2">
        <v>45281</v>
      </c>
    </row>
    <row r="357" spans="1:4">
      <c r="A357" t="s">
        <v>1535</v>
      </c>
      <c r="B357" t="s">
        <v>1516</v>
      </c>
      <c r="C357">
        <v>4462</v>
      </c>
      <c r="D357" s="2">
        <v>45282</v>
      </c>
    </row>
    <row r="358" spans="1:4">
      <c r="A358" t="s">
        <v>1537</v>
      </c>
      <c r="B358" t="s">
        <v>1518</v>
      </c>
      <c r="C358">
        <v>7504</v>
      </c>
      <c r="D358" s="2">
        <v>45283</v>
      </c>
    </row>
    <row r="359" spans="1:4">
      <c r="A359" t="s">
        <v>1535</v>
      </c>
      <c r="B359" t="s">
        <v>1516</v>
      </c>
      <c r="C359">
        <v>6325</v>
      </c>
      <c r="D359" s="2">
        <v>45284</v>
      </c>
    </row>
    <row r="360" spans="1:4">
      <c r="A360" t="s">
        <v>1537</v>
      </c>
      <c r="B360" t="s">
        <v>1516</v>
      </c>
      <c r="C360">
        <v>6496</v>
      </c>
      <c r="D360" s="2">
        <v>45285</v>
      </c>
    </row>
    <row r="361" spans="1:4">
      <c r="A361" t="s">
        <v>1536</v>
      </c>
      <c r="B361" t="s">
        <v>1515</v>
      </c>
      <c r="C361">
        <v>9157</v>
      </c>
      <c r="D361" s="2">
        <v>45286</v>
      </c>
    </row>
    <row r="362" spans="1:4">
      <c r="A362" t="s">
        <v>1538</v>
      </c>
      <c r="B362" t="s">
        <v>1514</v>
      </c>
      <c r="C362">
        <v>4262</v>
      </c>
      <c r="D362" s="2">
        <v>45287</v>
      </c>
    </row>
    <row r="363" spans="1:4">
      <c r="A363" t="s">
        <v>1535</v>
      </c>
      <c r="B363" t="s">
        <v>1515</v>
      </c>
      <c r="C363">
        <v>5574</v>
      </c>
      <c r="D363" s="2">
        <v>45288</v>
      </c>
    </row>
    <row r="364" spans="1:4">
      <c r="A364" t="s">
        <v>1537</v>
      </c>
      <c r="B364" t="s">
        <v>1517</v>
      </c>
      <c r="C364">
        <v>2151</v>
      </c>
      <c r="D364" s="2">
        <v>45289</v>
      </c>
    </row>
    <row r="365" spans="1:4">
      <c r="A365" t="s">
        <v>1538</v>
      </c>
      <c r="B365" t="s">
        <v>1518</v>
      </c>
      <c r="C365">
        <v>4617</v>
      </c>
      <c r="D365" s="2">
        <v>45290</v>
      </c>
    </row>
    <row r="366" spans="1:4">
      <c r="A366" t="s">
        <v>1537</v>
      </c>
      <c r="B366" t="s">
        <v>1517</v>
      </c>
      <c r="C366">
        <v>9662</v>
      </c>
      <c r="D366" s="2">
        <v>45291</v>
      </c>
    </row>
    <row r="367" spans="1:4">
      <c r="A367" t="s">
        <v>1538</v>
      </c>
      <c r="B367" t="s">
        <v>1514</v>
      </c>
      <c r="C367">
        <v>8482</v>
      </c>
      <c r="D367" s="2">
        <v>45292</v>
      </c>
    </row>
    <row r="368" spans="1:4">
      <c r="A368" t="s">
        <v>1535</v>
      </c>
      <c r="B368" t="s">
        <v>1516</v>
      </c>
      <c r="C368">
        <v>398</v>
      </c>
      <c r="D368" s="2">
        <v>45293</v>
      </c>
    </row>
    <row r="369" spans="1:4">
      <c r="A369" t="s">
        <v>1535</v>
      </c>
      <c r="B369" t="s">
        <v>1514</v>
      </c>
      <c r="C369">
        <v>8097</v>
      </c>
      <c r="D369" s="2">
        <v>45294</v>
      </c>
    </row>
    <row r="370" spans="1:4">
      <c r="A370" t="s">
        <v>1536</v>
      </c>
      <c r="B370" t="s">
        <v>1518</v>
      </c>
      <c r="C370">
        <v>731</v>
      </c>
      <c r="D370" s="2">
        <v>45295</v>
      </c>
    </row>
    <row r="371" spans="1:4">
      <c r="A371" t="s">
        <v>1536</v>
      </c>
      <c r="B371" t="s">
        <v>1514</v>
      </c>
      <c r="C371">
        <v>7126</v>
      </c>
      <c r="D371" s="2">
        <v>45296</v>
      </c>
    </row>
    <row r="372" spans="1:4">
      <c r="A372" t="s">
        <v>1538</v>
      </c>
      <c r="B372" t="s">
        <v>1517</v>
      </c>
      <c r="C372">
        <v>2271</v>
      </c>
      <c r="D372" s="2">
        <v>45297</v>
      </c>
    </row>
    <row r="373" spans="1:4">
      <c r="A373" t="s">
        <v>1536</v>
      </c>
      <c r="B373" t="s">
        <v>1515</v>
      </c>
      <c r="C373">
        <v>5801</v>
      </c>
      <c r="D373" s="2">
        <v>45298</v>
      </c>
    </row>
    <row r="374" spans="1:4">
      <c r="A374" t="s">
        <v>1535</v>
      </c>
      <c r="B374" t="s">
        <v>1515</v>
      </c>
      <c r="C374">
        <v>368</v>
      </c>
      <c r="D374" s="2">
        <v>45299</v>
      </c>
    </row>
    <row r="375" spans="1:4">
      <c r="A375" t="s">
        <v>1536</v>
      </c>
      <c r="B375" t="s">
        <v>1514</v>
      </c>
      <c r="C375">
        <v>2679</v>
      </c>
      <c r="D375" s="2">
        <v>45300</v>
      </c>
    </row>
    <row r="376" spans="1:4">
      <c r="A376" t="s">
        <v>1535</v>
      </c>
      <c r="B376" t="s">
        <v>1516</v>
      </c>
      <c r="C376">
        <v>4684</v>
      </c>
      <c r="D376" s="2">
        <v>45301</v>
      </c>
    </row>
    <row r="377" spans="1:4">
      <c r="A377" t="s">
        <v>1536</v>
      </c>
      <c r="B377" t="s">
        <v>1514</v>
      </c>
      <c r="C377">
        <v>7054</v>
      </c>
      <c r="D377" s="2">
        <v>45302</v>
      </c>
    </row>
    <row r="378" spans="1:4">
      <c r="A378" t="s">
        <v>1538</v>
      </c>
      <c r="B378" t="s">
        <v>1517</v>
      </c>
      <c r="C378">
        <v>8530</v>
      </c>
      <c r="D378" s="2">
        <v>45303</v>
      </c>
    </row>
    <row r="379" spans="1:4">
      <c r="A379" t="s">
        <v>1535</v>
      </c>
      <c r="B379" t="s">
        <v>1515</v>
      </c>
      <c r="C379">
        <v>7071</v>
      </c>
      <c r="D379" s="2">
        <v>45304</v>
      </c>
    </row>
    <row r="380" spans="1:4">
      <c r="A380" t="s">
        <v>1535</v>
      </c>
      <c r="B380" t="s">
        <v>1516</v>
      </c>
      <c r="C380">
        <v>478</v>
      </c>
      <c r="D380" s="2">
        <v>45305</v>
      </c>
    </row>
    <row r="381" spans="1:4">
      <c r="A381" t="s">
        <v>1537</v>
      </c>
      <c r="B381" t="s">
        <v>1514</v>
      </c>
      <c r="C381">
        <v>4421</v>
      </c>
      <c r="D381" s="2">
        <v>45306</v>
      </c>
    </row>
    <row r="382" spans="1:4">
      <c r="A382" t="s">
        <v>1537</v>
      </c>
      <c r="B382" t="s">
        <v>1514</v>
      </c>
      <c r="C382">
        <v>2177</v>
      </c>
      <c r="D382" s="2">
        <v>45307</v>
      </c>
    </row>
    <row r="383" spans="1:4">
      <c r="A383" t="s">
        <v>1537</v>
      </c>
      <c r="B383" t="s">
        <v>1517</v>
      </c>
      <c r="C383">
        <v>571</v>
      </c>
      <c r="D383" s="2">
        <v>45308</v>
      </c>
    </row>
    <row r="384" spans="1:4">
      <c r="A384" t="s">
        <v>1535</v>
      </c>
      <c r="B384" t="s">
        <v>1515</v>
      </c>
      <c r="C384">
        <v>7072</v>
      </c>
      <c r="D384" s="2">
        <v>45309</v>
      </c>
    </row>
    <row r="385" spans="1:4">
      <c r="A385" t="s">
        <v>1535</v>
      </c>
      <c r="B385" t="s">
        <v>1516</v>
      </c>
      <c r="C385">
        <v>6525</v>
      </c>
      <c r="D385" s="2">
        <v>45310</v>
      </c>
    </row>
    <row r="386" spans="1:4">
      <c r="A386" t="s">
        <v>1535</v>
      </c>
      <c r="B386" t="s">
        <v>1518</v>
      </c>
      <c r="C386">
        <v>8060</v>
      </c>
      <c r="D386" s="2">
        <v>45311</v>
      </c>
    </row>
    <row r="387" spans="1:4">
      <c r="A387" t="s">
        <v>1536</v>
      </c>
      <c r="B387" t="s">
        <v>1514</v>
      </c>
      <c r="C387">
        <v>1614</v>
      </c>
      <c r="D387" s="2">
        <v>45312</v>
      </c>
    </row>
    <row r="388" spans="1:4">
      <c r="A388" t="s">
        <v>1535</v>
      </c>
      <c r="B388" t="s">
        <v>1516</v>
      </c>
      <c r="C388">
        <v>9485</v>
      </c>
      <c r="D388" s="2">
        <v>45313</v>
      </c>
    </row>
    <row r="389" spans="1:4">
      <c r="A389" t="s">
        <v>1537</v>
      </c>
      <c r="B389" t="s">
        <v>1514</v>
      </c>
      <c r="C389">
        <v>8605</v>
      </c>
      <c r="D389" s="2">
        <v>45314</v>
      </c>
    </row>
    <row r="390" spans="1:4">
      <c r="A390" t="s">
        <v>1535</v>
      </c>
      <c r="B390" t="s">
        <v>1517</v>
      </c>
      <c r="C390">
        <v>1594</v>
      </c>
      <c r="D390" s="2">
        <v>45315</v>
      </c>
    </row>
    <row r="391" spans="1:4">
      <c r="A391" t="s">
        <v>1536</v>
      </c>
      <c r="B391" t="s">
        <v>1514</v>
      </c>
      <c r="C391">
        <v>5361</v>
      </c>
      <c r="D391" s="2">
        <v>45316</v>
      </c>
    </row>
    <row r="392" spans="1:4">
      <c r="A392" t="s">
        <v>1537</v>
      </c>
      <c r="B392" t="s">
        <v>1516</v>
      </c>
      <c r="C392">
        <v>9588</v>
      </c>
      <c r="D392" s="2">
        <v>45317</v>
      </c>
    </row>
    <row r="393" spans="1:4">
      <c r="A393" t="s">
        <v>1537</v>
      </c>
      <c r="B393" t="s">
        <v>1516</v>
      </c>
      <c r="C393">
        <v>5174</v>
      </c>
      <c r="D393" s="2">
        <v>45318</v>
      </c>
    </row>
    <row r="394" spans="1:4">
      <c r="A394" t="s">
        <v>1538</v>
      </c>
      <c r="B394" t="s">
        <v>1518</v>
      </c>
      <c r="C394">
        <v>8616</v>
      </c>
      <c r="D394" s="2">
        <v>45319</v>
      </c>
    </row>
    <row r="395" spans="1:4">
      <c r="A395" t="s">
        <v>1537</v>
      </c>
      <c r="B395" t="s">
        <v>1515</v>
      </c>
      <c r="C395">
        <v>5793</v>
      </c>
      <c r="D395" s="2">
        <v>45320</v>
      </c>
    </row>
    <row r="396" spans="1:4">
      <c r="A396" t="s">
        <v>1537</v>
      </c>
      <c r="B396" t="s">
        <v>1515</v>
      </c>
      <c r="C396">
        <v>1994</v>
      </c>
      <c r="D396" s="2">
        <v>45321</v>
      </c>
    </row>
    <row r="397" spans="1:4">
      <c r="A397" t="s">
        <v>1536</v>
      </c>
      <c r="B397" t="s">
        <v>1517</v>
      </c>
      <c r="C397">
        <v>9789</v>
      </c>
      <c r="D397" s="2">
        <v>45322</v>
      </c>
    </row>
    <row r="398" spans="1:4">
      <c r="A398" t="s">
        <v>1537</v>
      </c>
      <c r="B398" t="s">
        <v>1517</v>
      </c>
      <c r="C398">
        <v>9052</v>
      </c>
      <c r="D398" s="2">
        <v>45323</v>
      </c>
    </row>
    <row r="399" spans="1:4">
      <c r="A399" t="s">
        <v>1537</v>
      </c>
      <c r="B399" t="s">
        <v>1515</v>
      </c>
      <c r="C399">
        <v>3709</v>
      </c>
      <c r="D399" s="2">
        <v>45324</v>
      </c>
    </row>
    <row r="400" spans="1:4">
      <c r="A400" t="s">
        <v>1538</v>
      </c>
      <c r="B400" t="s">
        <v>1516</v>
      </c>
      <c r="C400">
        <v>6272</v>
      </c>
      <c r="D400" s="2">
        <v>45325</v>
      </c>
    </row>
    <row r="401" spans="1:4">
      <c r="A401" t="s">
        <v>1536</v>
      </c>
      <c r="B401" t="s">
        <v>1514</v>
      </c>
      <c r="C401">
        <v>1177</v>
      </c>
      <c r="D401" s="2">
        <v>45326</v>
      </c>
    </row>
    <row r="402" spans="1:4">
      <c r="A402" t="s">
        <v>1538</v>
      </c>
      <c r="B402" t="s">
        <v>1514</v>
      </c>
      <c r="C402">
        <v>994</v>
      </c>
      <c r="D402" s="2">
        <v>45327</v>
      </c>
    </row>
    <row r="403" spans="1:4">
      <c r="A403" t="s">
        <v>1537</v>
      </c>
      <c r="B403" t="s">
        <v>1514</v>
      </c>
      <c r="C403">
        <v>1221</v>
      </c>
      <c r="D403" s="2">
        <v>45328</v>
      </c>
    </row>
    <row r="404" spans="1:4">
      <c r="A404" t="s">
        <v>1536</v>
      </c>
      <c r="B404" t="s">
        <v>1515</v>
      </c>
      <c r="C404">
        <v>5396</v>
      </c>
      <c r="D404" s="2">
        <v>45329</v>
      </c>
    </row>
    <row r="405" spans="1:4">
      <c r="A405" t="s">
        <v>1538</v>
      </c>
      <c r="B405" t="s">
        <v>1515</v>
      </c>
      <c r="C405">
        <v>9833</v>
      </c>
      <c r="D405" s="2">
        <v>45330</v>
      </c>
    </row>
    <row r="406" spans="1:4">
      <c r="A406" t="s">
        <v>1535</v>
      </c>
      <c r="B406" t="s">
        <v>1515</v>
      </c>
      <c r="C406">
        <v>6880</v>
      </c>
      <c r="D406" s="2">
        <v>45331</v>
      </c>
    </row>
    <row r="407" spans="1:4">
      <c r="A407" t="s">
        <v>1537</v>
      </c>
      <c r="B407" t="s">
        <v>1515</v>
      </c>
      <c r="C407">
        <v>818</v>
      </c>
      <c r="D407" s="2">
        <v>45332</v>
      </c>
    </row>
    <row r="408" spans="1:4">
      <c r="A408" t="s">
        <v>1536</v>
      </c>
      <c r="B408" t="s">
        <v>1514</v>
      </c>
      <c r="C408">
        <v>6729</v>
      </c>
      <c r="D408" s="2">
        <v>45333</v>
      </c>
    </row>
    <row r="409" spans="1:4">
      <c r="A409" t="s">
        <v>1535</v>
      </c>
      <c r="B409" t="s">
        <v>1517</v>
      </c>
      <c r="C409">
        <v>222</v>
      </c>
      <c r="D409" s="2">
        <v>45334</v>
      </c>
    </row>
    <row r="410" spans="1:4">
      <c r="A410" t="s">
        <v>1536</v>
      </c>
      <c r="B410" t="s">
        <v>1518</v>
      </c>
      <c r="C410">
        <v>5022</v>
      </c>
      <c r="D410" s="2">
        <v>45335</v>
      </c>
    </row>
    <row r="411" spans="1:4">
      <c r="A411" t="s">
        <v>1536</v>
      </c>
      <c r="B411" t="s">
        <v>1514</v>
      </c>
      <c r="C411">
        <v>3011</v>
      </c>
      <c r="D411" s="2">
        <v>45336</v>
      </c>
    </row>
    <row r="412" spans="1:4">
      <c r="A412" t="s">
        <v>1536</v>
      </c>
      <c r="B412" t="s">
        <v>1515</v>
      </c>
      <c r="C412">
        <v>6873</v>
      </c>
      <c r="D412" s="2">
        <v>45337</v>
      </c>
    </row>
    <row r="413" spans="1:4">
      <c r="A413" t="s">
        <v>1538</v>
      </c>
      <c r="B413" t="s">
        <v>1516</v>
      </c>
      <c r="C413">
        <v>2177</v>
      </c>
      <c r="D413" s="2">
        <v>45338</v>
      </c>
    </row>
    <row r="414" spans="1:4">
      <c r="A414" t="s">
        <v>1538</v>
      </c>
      <c r="B414" t="s">
        <v>1517</v>
      </c>
      <c r="C414">
        <v>9798</v>
      </c>
      <c r="D414" s="2">
        <v>45339</v>
      </c>
    </row>
    <row r="415" spans="1:4">
      <c r="A415" t="s">
        <v>1536</v>
      </c>
      <c r="B415" t="s">
        <v>1518</v>
      </c>
      <c r="C415">
        <v>9838</v>
      </c>
      <c r="D415" s="2">
        <v>45340</v>
      </c>
    </row>
    <row r="416" spans="1:4">
      <c r="A416" t="s">
        <v>1536</v>
      </c>
      <c r="B416" t="s">
        <v>1517</v>
      </c>
      <c r="C416">
        <v>358</v>
      </c>
      <c r="D416" s="2">
        <v>45341</v>
      </c>
    </row>
    <row r="417" spans="1:4">
      <c r="A417" t="s">
        <v>1535</v>
      </c>
      <c r="B417" t="s">
        <v>1517</v>
      </c>
      <c r="C417">
        <v>1073</v>
      </c>
      <c r="D417" s="2">
        <v>45342</v>
      </c>
    </row>
    <row r="418" spans="1:4">
      <c r="A418" t="s">
        <v>1536</v>
      </c>
      <c r="B418" t="s">
        <v>1517</v>
      </c>
      <c r="C418">
        <v>9264</v>
      </c>
      <c r="D418" s="2">
        <v>45343</v>
      </c>
    </row>
    <row r="419" spans="1:4">
      <c r="A419" t="s">
        <v>1538</v>
      </c>
      <c r="B419" t="s">
        <v>1516</v>
      </c>
      <c r="C419">
        <v>4107</v>
      </c>
      <c r="D419" s="2">
        <v>45344</v>
      </c>
    </row>
    <row r="420" spans="1:4">
      <c r="A420" t="s">
        <v>1538</v>
      </c>
      <c r="B420" t="s">
        <v>1516</v>
      </c>
      <c r="C420">
        <v>7864</v>
      </c>
      <c r="D420" s="2">
        <v>45345</v>
      </c>
    </row>
    <row r="421" spans="1:4">
      <c r="A421" t="s">
        <v>1536</v>
      </c>
      <c r="B421" t="s">
        <v>1517</v>
      </c>
      <c r="C421">
        <v>6618</v>
      </c>
      <c r="D421" s="2">
        <v>45346</v>
      </c>
    </row>
    <row r="422" spans="1:4">
      <c r="A422" t="s">
        <v>1537</v>
      </c>
      <c r="B422" t="s">
        <v>1517</v>
      </c>
      <c r="C422">
        <v>9746</v>
      </c>
      <c r="D422" s="2">
        <v>45347</v>
      </c>
    </row>
    <row r="423" spans="1:4">
      <c r="A423" t="s">
        <v>1535</v>
      </c>
      <c r="B423" t="s">
        <v>1517</v>
      </c>
      <c r="C423">
        <v>3333</v>
      </c>
      <c r="D423" s="2">
        <v>45348</v>
      </c>
    </row>
    <row r="424" spans="1:4">
      <c r="A424" t="s">
        <v>1535</v>
      </c>
      <c r="B424" t="s">
        <v>1518</v>
      </c>
      <c r="C424">
        <v>2890</v>
      </c>
      <c r="D424" s="2">
        <v>45349</v>
      </c>
    </row>
    <row r="425" spans="1:4">
      <c r="A425" t="s">
        <v>1536</v>
      </c>
      <c r="B425" t="s">
        <v>1515</v>
      </c>
      <c r="C425">
        <v>9341</v>
      </c>
      <c r="D425" s="2">
        <v>45350</v>
      </c>
    </row>
    <row r="426" spans="1:4">
      <c r="A426" t="s">
        <v>1536</v>
      </c>
      <c r="B426" t="s">
        <v>1517</v>
      </c>
      <c r="C426">
        <v>3836</v>
      </c>
      <c r="D426" s="2">
        <v>45351</v>
      </c>
    </row>
    <row r="427" spans="1:4">
      <c r="A427" t="s">
        <v>1536</v>
      </c>
      <c r="B427" t="s">
        <v>1514</v>
      </c>
      <c r="C427">
        <v>2031</v>
      </c>
      <c r="D427" s="2">
        <v>45352</v>
      </c>
    </row>
    <row r="428" spans="1:4">
      <c r="A428" t="s">
        <v>1536</v>
      </c>
      <c r="B428" t="s">
        <v>1517</v>
      </c>
      <c r="C428">
        <v>1269</v>
      </c>
      <c r="D428" s="2">
        <v>45353</v>
      </c>
    </row>
    <row r="429" spans="1:4">
      <c r="A429" t="s">
        <v>1536</v>
      </c>
      <c r="B429" t="s">
        <v>1514</v>
      </c>
      <c r="C429">
        <v>8982</v>
      </c>
      <c r="D429" s="2">
        <v>45354</v>
      </c>
    </row>
    <row r="430" spans="1:4">
      <c r="A430" t="s">
        <v>1536</v>
      </c>
      <c r="B430" t="s">
        <v>1516</v>
      </c>
      <c r="C430">
        <v>2969</v>
      </c>
      <c r="D430" s="2">
        <v>45355</v>
      </c>
    </row>
    <row r="431" spans="1:4">
      <c r="A431" t="s">
        <v>1537</v>
      </c>
      <c r="B431" t="s">
        <v>1515</v>
      </c>
      <c r="C431">
        <v>3196</v>
      </c>
      <c r="D431" s="2">
        <v>45356</v>
      </c>
    </row>
    <row r="432" spans="1:4">
      <c r="A432" t="s">
        <v>1535</v>
      </c>
      <c r="B432" t="s">
        <v>1516</v>
      </c>
      <c r="C432">
        <v>7251</v>
      </c>
      <c r="D432" s="2">
        <v>45357</v>
      </c>
    </row>
    <row r="433" spans="1:4">
      <c r="A433" t="s">
        <v>1535</v>
      </c>
      <c r="B433" t="s">
        <v>1516</v>
      </c>
      <c r="C433">
        <v>8830</v>
      </c>
      <c r="D433" s="2">
        <v>45358</v>
      </c>
    </row>
    <row r="434" spans="1:4">
      <c r="A434" t="s">
        <v>1536</v>
      </c>
      <c r="B434" t="s">
        <v>1517</v>
      </c>
      <c r="C434">
        <v>1638</v>
      </c>
      <c r="D434" s="2">
        <v>45359</v>
      </c>
    </row>
    <row r="435" spans="1:4">
      <c r="A435" t="s">
        <v>1538</v>
      </c>
      <c r="B435" t="s">
        <v>1517</v>
      </c>
      <c r="C435">
        <v>196</v>
      </c>
      <c r="D435" s="2">
        <v>45360</v>
      </c>
    </row>
    <row r="436" spans="1:4">
      <c r="A436" t="s">
        <v>1536</v>
      </c>
      <c r="B436" t="s">
        <v>1518</v>
      </c>
      <c r="C436">
        <v>4590</v>
      </c>
      <c r="D436" s="2">
        <v>45361</v>
      </c>
    </row>
    <row r="437" spans="1:4">
      <c r="A437" t="s">
        <v>1536</v>
      </c>
      <c r="B437" t="s">
        <v>1518</v>
      </c>
      <c r="C437">
        <v>4635</v>
      </c>
      <c r="D437" s="2">
        <v>45362</v>
      </c>
    </row>
    <row r="438" spans="1:4">
      <c r="A438" t="s">
        <v>1538</v>
      </c>
      <c r="B438" t="s">
        <v>1517</v>
      </c>
      <c r="C438">
        <v>5761</v>
      </c>
      <c r="D438" s="2">
        <v>45363</v>
      </c>
    </row>
    <row r="439" spans="1:4">
      <c r="A439" t="s">
        <v>1536</v>
      </c>
      <c r="B439" t="s">
        <v>1516</v>
      </c>
      <c r="C439">
        <v>6462</v>
      </c>
      <c r="D439" s="2">
        <v>45364</v>
      </c>
    </row>
    <row r="440" spans="1:4">
      <c r="A440" t="s">
        <v>1535</v>
      </c>
      <c r="B440" t="s">
        <v>1518</v>
      </c>
      <c r="C440">
        <v>6579</v>
      </c>
      <c r="D440" s="2">
        <v>45365</v>
      </c>
    </row>
    <row r="441" spans="1:4">
      <c r="A441" t="s">
        <v>1535</v>
      </c>
      <c r="B441" t="s">
        <v>1515</v>
      </c>
      <c r="C441">
        <v>4320</v>
      </c>
      <c r="D441" s="2">
        <v>45366</v>
      </c>
    </row>
    <row r="442" spans="1:4">
      <c r="A442" t="s">
        <v>1536</v>
      </c>
      <c r="B442" t="s">
        <v>1515</v>
      </c>
      <c r="C442">
        <v>6368</v>
      </c>
      <c r="D442" s="2">
        <v>45367</v>
      </c>
    </row>
    <row r="443" spans="1:4">
      <c r="A443" t="s">
        <v>1537</v>
      </c>
      <c r="B443" t="s">
        <v>1518</v>
      </c>
      <c r="C443">
        <v>7308</v>
      </c>
      <c r="D443" s="2">
        <v>45368</v>
      </c>
    </row>
    <row r="444" spans="1:4">
      <c r="A444" t="s">
        <v>1535</v>
      </c>
      <c r="B444" t="s">
        <v>1515</v>
      </c>
      <c r="C444">
        <v>744</v>
      </c>
      <c r="D444" s="2">
        <v>45369</v>
      </c>
    </row>
    <row r="445" spans="1:4">
      <c r="A445" t="s">
        <v>1538</v>
      </c>
      <c r="B445" t="s">
        <v>1517</v>
      </c>
      <c r="C445">
        <v>9023</v>
      </c>
      <c r="D445" s="2">
        <v>45370</v>
      </c>
    </row>
    <row r="446" spans="1:4">
      <c r="A446" t="s">
        <v>1537</v>
      </c>
      <c r="B446" t="s">
        <v>1518</v>
      </c>
      <c r="C446">
        <v>1541</v>
      </c>
      <c r="D446" s="2">
        <v>45371</v>
      </c>
    </row>
    <row r="447" spans="1:4">
      <c r="A447" t="s">
        <v>1535</v>
      </c>
      <c r="B447" t="s">
        <v>1518</v>
      </c>
      <c r="C447">
        <v>8343</v>
      </c>
      <c r="D447" s="2">
        <v>45372</v>
      </c>
    </row>
    <row r="448" spans="1:4">
      <c r="A448" t="s">
        <v>1535</v>
      </c>
      <c r="B448" t="s">
        <v>1516</v>
      </c>
      <c r="C448">
        <v>4412</v>
      </c>
      <c r="D448" s="2">
        <v>45373</v>
      </c>
    </row>
    <row r="449" spans="1:4">
      <c r="A449" t="s">
        <v>1535</v>
      </c>
      <c r="B449" t="s">
        <v>1517</v>
      </c>
      <c r="C449">
        <v>6691</v>
      </c>
      <c r="D449" s="2">
        <v>45374</v>
      </c>
    </row>
    <row r="450" spans="1:4">
      <c r="A450" t="s">
        <v>1535</v>
      </c>
      <c r="B450" t="s">
        <v>1518</v>
      </c>
      <c r="C450">
        <v>2394</v>
      </c>
      <c r="D450" s="2">
        <v>45375</v>
      </c>
    </row>
    <row r="451" spans="1:4">
      <c r="A451" t="s">
        <v>1537</v>
      </c>
      <c r="B451" t="s">
        <v>1515</v>
      </c>
      <c r="C451">
        <v>3517</v>
      </c>
      <c r="D451" s="2">
        <v>45376</v>
      </c>
    </row>
    <row r="452" spans="1:4">
      <c r="A452" t="s">
        <v>1538</v>
      </c>
      <c r="B452" t="s">
        <v>1514</v>
      </c>
      <c r="C452">
        <v>8887</v>
      </c>
      <c r="D452" s="2">
        <v>45377</v>
      </c>
    </row>
    <row r="453" spans="1:4">
      <c r="A453" t="s">
        <v>1537</v>
      </c>
      <c r="B453" t="s">
        <v>1517</v>
      </c>
      <c r="C453">
        <v>6877</v>
      </c>
      <c r="D453" s="2">
        <v>45378</v>
      </c>
    </row>
    <row r="454" spans="1:4">
      <c r="A454" t="s">
        <v>1537</v>
      </c>
      <c r="B454" t="s">
        <v>1516</v>
      </c>
      <c r="C454">
        <v>2200</v>
      </c>
      <c r="D454" s="2">
        <v>45379</v>
      </c>
    </row>
    <row r="455" spans="1:4">
      <c r="A455" t="s">
        <v>1538</v>
      </c>
      <c r="B455" t="s">
        <v>1516</v>
      </c>
      <c r="C455">
        <v>2008</v>
      </c>
      <c r="D455" s="2">
        <v>45380</v>
      </c>
    </row>
    <row r="456" spans="1:4">
      <c r="A456" t="s">
        <v>1535</v>
      </c>
      <c r="B456" t="s">
        <v>1515</v>
      </c>
      <c r="C456">
        <v>7280</v>
      </c>
      <c r="D456" s="2">
        <v>45381</v>
      </c>
    </row>
    <row r="457" spans="1:4">
      <c r="A457" t="s">
        <v>1537</v>
      </c>
      <c r="B457" t="s">
        <v>1515</v>
      </c>
      <c r="C457">
        <v>9885</v>
      </c>
      <c r="D457" s="2">
        <v>45382</v>
      </c>
    </row>
    <row r="458" spans="1:4">
      <c r="A458" t="s">
        <v>1538</v>
      </c>
      <c r="B458" t="s">
        <v>1518</v>
      </c>
      <c r="C458">
        <v>9906</v>
      </c>
      <c r="D458" s="2">
        <v>45383</v>
      </c>
    </row>
    <row r="459" spans="1:4">
      <c r="A459" t="s">
        <v>1537</v>
      </c>
      <c r="B459" t="s">
        <v>1517</v>
      </c>
      <c r="C459">
        <v>4859</v>
      </c>
      <c r="D459" s="2">
        <v>45384</v>
      </c>
    </row>
    <row r="460" spans="1:4">
      <c r="A460" t="s">
        <v>1537</v>
      </c>
      <c r="B460" t="s">
        <v>1517</v>
      </c>
      <c r="C460">
        <v>3045</v>
      </c>
      <c r="D460" s="2">
        <v>45385</v>
      </c>
    </row>
    <row r="461" spans="1:4">
      <c r="A461" t="s">
        <v>1536</v>
      </c>
      <c r="B461" t="s">
        <v>1517</v>
      </c>
      <c r="C461">
        <v>7438</v>
      </c>
      <c r="D461" s="2">
        <v>45386</v>
      </c>
    </row>
    <row r="462" spans="1:4">
      <c r="A462" t="s">
        <v>1535</v>
      </c>
      <c r="B462" t="s">
        <v>1514</v>
      </c>
      <c r="C462">
        <v>1668</v>
      </c>
      <c r="D462" s="2">
        <v>45387</v>
      </c>
    </row>
    <row r="463" spans="1:4">
      <c r="A463" t="s">
        <v>1538</v>
      </c>
      <c r="B463" t="s">
        <v>1517</v>
      </c>
      <c r="C463">
        <v>8451</v>
      </c>
      <c r="D463" s="2">
        <v>45388</v>
      </c>
    </row>
    <row r="464" spans="1:4">
      <c r="A464" t="s">
        <v>1538</v>
      </c>
      <c r="B464" t="s">
        <v>1514</v>
      </c>
      <c r="C464">
        <v>8712</v>
      </c>
      <c r="D464" s="2">
        <v>45389</v>
      </c>
    </row>
    <row r="465" spans="1:4">
      <c r="A465" t="s">
        <v>1536</v>
      </c>
      <c r="B465" t="s">
        <v>1517</v>
      </c>
      <c r="C465">
        <v>9289</v>
      </c>
      <c r="D465" s="2">
        <v>45390</v>
      </c>
    </row>
    <row r="466" spans="1:4">
      <c r="A466" t="s">
        <v>1536</v>
      </c>
      <c r="B466" t="s">
        <v>1516</v>
      </c>
      <c r="C466">
        <v>517</v>
      </c>
      <c r="D466" s="2">
        <v>45391</v>
      </c>
    </row>
    <row r="467" spans="1:4">
      <c r="A467" t="s">
        <v>1536</v>
      </c>
      <c r="B467" t="s">
        <v>1518</v>
      </c>
      <c r="C467">
        <v>2722</v>
      </c>
      <c r="D467" s="2">
        <v>45392</v>
      </c>
    </row>
    <row r="468" spans="1:4">
      <c r="A468" t="s">
        <v>1538</v>
      </c>
      <c r="B468" t="s">
        <v>1516</v>
      </c>
      <c r="C468">
        <v>1033</v>
      </c>
      <c r="D468" s="2">
        <v>45393</v>
      </c>
    </row>
    <row r="469" spans="1:4">
      <c r="A469" t="s">
        <v>1535</v>
      </c>
      <c r="B469" t="s">
        <v>1517</v>
      </c>
      <c r="C469">
        <v>7969</v>
      </c>
      <c r="D469" s="2">
        <v>45394</v>
      </c>
    </row>
    <row r="470" spans="1:4">
      <c r="A470" t="s">
        <v>1537</v>
      </c>
      <c r="B470" t="s">
        <v>1518</v>
      </c>
      <c r="C470">
        <v>8971</v>
      </c>
      <c r="D470" s="2">
        <v>45395</v>
      </c>
    </row>
    <row r="471" spans="1:4">
      <c r="A471" t="s">
        <v>1535</v>
      </c>
      <c r="B471" t="s">
        <v>1515</v>
      </c>
      <c r="C471">
        <v>172</v>
      </c>
      <c r="D471" s="2">
        <v>45396</v>
      </c>
    </row>
    <row r="472" spans="1:4">
      <c r="A472" t="s">
        <v>1535</v>
      </c>
      <c r="B472" t="s">
        <v>1514</v>
      </c>
      <c r="C472">
        <v>6577</v>
      </c>
      <c r="D472" s="2">
        <v>45397</v>
      </c>
    </row>
    <row r="473" spans="1:4">
      <c r="A473" t="s">
        <v>1535</v>
      </c>
      <c r="B473" t="s">
        <v>1516</v>
      </c>
      <c r="C473">
        <v>3248</v>
      </c>
      <c r="D473" s="2">
        <v>45398</v>
      </c>
    </row>
    <row r="474" spans="1:4">
      <c r="A474" t="s">
        <v>1538</v>
      </c>
      <c r="B474" t="s">
        <v>1516</v>
      </c>
      <c r="C474">
        <v>7076</v>
      </c>
      <c r="D474" s="2">
        <v>45399</v>
      </c>
    </row>
    <row r="475" spans="1:4">
      <c r="A475" t="s">
        <v>1535</v>
      </c>
      <c r="B475" t="s">
        <v>1517</v>
      </c>
      <c r="C475">
        <v>8011</v>
      </c>
      <c r="D475" s="2">
        <v>45400</v>
      </c>
    </row>
    <row r="476" spans="1:4">
      <c r="A476" t="s">
        <v>1536</v>
      </c>
      <c r="B476" t="s">
        <v>1518</v>
      </c>
      <c r="C476">
        <v>7396</v>
      </c>
      <c r="D476" s="2">
        <v>45401</v>
      </c>
    </row>
    <row r="477" spans="1:4">
      <c r="A477" t="s">
        <v>1537</v>
      </c>
      <c r="B477" t="s">
        <v>1517</v>
      </c>
      <c r="C477">
        <v>4486</v>
      </c>
      <c r="D477" s="2">
        <v>45402</v>
      </c>
    </row>
    <row r="478" spans="1:4">
      <c r="A478" t="s">
        <v>1535</v>
      </c>
      <c r="B478" t="s">
        <v>1514</v>
      </c>
      <c r="C478">
        <v>1538</v>
      </c>
      <c r="D478" s="2">
        <v>45403</v>
      </c>
    </row>
    <row r="479" spans="1:4">
      <c r="A479" t="s">
        <v>1538</v>
      </c>
      <c r="B479" t="s">
        <v>1517</v>
      </c>
      <c r="C479">
        <v>2266</v>
      </c>
      <c r="D479" s="2">
        <v>45404</v>
      </c>
    </row>
    <row r="480" spans="1:4">
      <c r="A480" t="s">
        <v>1535</v>
      </c>
      <c r="B480" t="s">
        <v>1516</v>
      </c>
      <c r="C480">
        <v>3846</v>
      </c>
      <c r="D480" s="2">
        <v>45405</v>
      </c>
    </row>
    <row r="481" spans="1:4">
      <c r="A481" t="s">
        <v>1535</v>
      </c>
      <c r="B481" t="s">
        <v>1517</v>
      </c>
      <c r="C481">
        <v>9822</v>
      </c>
      <c r="D481" s="2">
        <v>45406</v>
      </c>
    </row>
    <row r="482" spans="1:4">
      <c r="A482" t="s">
        <v>1537</v>
      </c>
      <c r="B482" t="s">
        <v>1516</v>
      </c>
      <c r="C482">
        <v>9990</v>
      </c>
      <c r="D482" s="2">
        <v>45407</v>
      </c>
    </row>
    <row r="483" spans="1:4">
      <c r="A483" t="s">
        <v>1535</v>
      </c>
      <c r="B483" t="s">
        <v>1516</v>
      </c>
      <c r="C483">
        <v>1988</v>
      </c>
      <c r="D483" s="2">
        <v>45408</v>
      </c>
    </row>
    <row r="484" spans="1:4">
      <c r="A484" t="s">
        <v>1536</v>
      </c>
      <c r="B484" t="s">
        <v>1514</v>
      </c>
      <c r="C484">
        <v>9265</v>
      </c>
      <c r="D484" s="2">
        <v>45409</v>
      </c>
    </row>
    <row r="485" spans="1:4">
      <c r="A485" t="s">
        <v>1538</v>
      </c>
      <c r="B485" t="s">
        <v>1514</v>
      </c>
      <c r="C485">
        <v>9716</v>
      </c>
      <c r="D485" s="2">
        <v>45410</v>
      </c>
    </row>
    <row r="486" spans="1:4">
      <c r="A486" t="s">
        <v>1535</v>
      </c>
      <c r="B486" t="s">
        <v>1518</v>
      </c>
      <c r="C486">
        <v>653</v>
      </c>
      <c r="D486" s="2">
        <v>45411</v>
      </c>
    </row>
    <row r="487" spans="1:4">
      <c r="A487" t="s">
        <v>1535</v>
      </c>
      <c r="B487" t="s">
        <v>1515</v>
      </c>
      <c r="C487">
        <v>8355</v>
      </c>
      <c r="D487" s="2">
        <v>45412</v>
      </c>
    </row>
    <row r="488" spans="1:4">
      <c r="A488" t="s">
        <v>1535</v>
      </c>
      <c r="B488" t="s">
        <v>1515</v>
      </c>
      <c r="C488">
        <v>7421</v>
      </c>
      <c r="D488" s="2">
        <v>45413</v>
      </c>
    </row>
    <row r="489" spans="1:4">
      <c r="A489" t="s">
        <v>1535</v>
      </c>
      <c r="B489" t="s">
        <v>1516</v>
      </c>
      <c r="C489">
        <v>3268</v>
      </c>
      <c r="D489" s="2">
        <v>45414</v>
      </c>
    </row>
    <row r="490" spans="1:4">
      <c r="A490" t="s">
        <v>1536</v>
      </c>
      <c r="B490" t="s">
        <v>1516</v>
      </c>
      <c r="C490">
        <v>6865</v>
      </c>
      <c r="D490" s="2">
        <v>45415</v>
      </c>
    </row>
    <row r="491" spans="1:4">
      <c r="A491" t="s">
        <v>1537</v>
      </c>
      <c r="B491" t="s">
        <v>1518</v>
      </c>
      <c r="C491">
        <v>8009</v>
      </c>
      <c r="D491" s="2">
        <v>45416</v>
      </c>
    </row>
    <row r="492" spans="1:4">
      <c r="A492" t="s">
        <v>1537</v>
      </c>
      <c r="B492" t="s">
        <v>1514</v>
      </c>
      <c r="C492">
        <v>2501</v>
      </c>
      <c r="D492" s="2">
        <v>45417</v>
      </c>
    </row>
    <row r="493" spans="1:4">
      <c r="A493" t="s">
        <v>1538</v>
      </c>
      <c r="B493" t="s">
        <v>1516</v>
      </c>
      <c r="C493">
        <v>3507</v>
      </c>
      <c r="D493" s="2">
        <v>45418</v>
      </c>
    </row>
    <row r="494" spans="1:4">
      <c r="A494" t="s">
        <v>1537</v>
      </c>
      <c r="B494" t="s">
        <v>1517</v>
      </c>
      <c r="C494">
        <v>3149</v>
      </c>
      <c r="D494" s="2">
        <v>45419</v>
      </c>
    </row>
    <row r="495" spans="1:4">
      <c r="A495" t="s">
        <v>1537</v>
      </c>
      <c r="B495" t="s">
        <v>1516</v>
      </c>
      <c r="C495">
        <v>6870</v>
      </c>
      <c r="D495" s="2">
        <v>45420</v>
      </c>
    </row>
    <row r="496" spans="1:4">
      <c r="A496" t="s">
        <v>1535</v>
      </c>
      <c r="B496" t="s">
        <v>1515</v>
      </c>
      <c r="C496">
        <v>9908</v>
      </c>
      <c r="D496" s="2">
        <v>45421</v>
      </c>
    </row>
    <row r="497" spans="1:4">
      <c r="A497" t="s">
        <v>1538</v>
      </c>
      <c r="B497" t="s">
        <v>1516</v>
      </c>
      <c r="C497">
        <v>4159</v>
      </c>
      <c r="D497" s="2">
        <v>45422</v>
      </c>
    </row>
    <row r="498" spans="1:4">
      <c r="A498" t="s">
        <v>1536</v>
      </c>
      <c r="B498" t="s">
        <v>1517</v>
      </c>
      <c r="C498">
        <v>9872</v>
      </c>
      <c r="D498" s="2">
        <v>45423</v>
      </c>
    </row>
    <row r="499" spans="1:4">
      <c r="A499" t="s">
        <v>1535</v>
      </c>
      <c r="B499" t="s">
        <v>1517</v>
      </c>
      <c r="C499">
        <v>7817</v>
      </c>
      <c r="D499" s="2">
        <v>45424</v>
      </c>
    </row>
    <row r="500" spans="1:4">
      <c r="A500" t="s">
        <v>1538</v>
      </c>
      <c r="B500" t="s">
        <v>1516</v>
      </c>
      <c r="C500">
        <v>8409</v>
      </c>
      <c r="D500" s="2">
        <v>45425</v>
      </c>
    </row>
    <row r="501" spans="1:4">
      <c r="A501" t="s">
        <v>1535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5"/>
  <sheetData>
    <row r="1" spans="1:5">
      <c r="A1" s="1" t="s">
        <v>1539</v>
      </c>
      <c r="B1" s="1" t="s">
        <v>1540</v>
      </c>
      <c r="C1" s="1" t="s">
        <v>1533</v>
      </c>
      <c r="D1" s="1" t="s">
        <v>1541</v>
      </c>
      <c r="E1" s="1" t="s">
        <v>1542</v>
      </c>
    </row>
    <row r="2" spans="1:5">
      <c r="A2" t="s">
        <v>1543</v>
      </c>
      <c r="B2" t="s">
        <v>2043</v>
      </c>
      <c r="C2" t="s">
        <v>1537</v>
      </c>
      <c r="D2">
        <v>974.85</v>
      </c>
      <c r="E2" s="2">
        <v>44927</v>
      </c>
    </row>
    <row r="3" spans="1:5">
      <c r="A3" t="s">
        <v>1544</v>
      </c>
      <c r="B3" t="s">
        <v>2044</v>
      </c>
      <c r="C3" t="s">
        <v>1535</v>
      </c>
      <c r="D3">
        <v>4146.46</v>
      </c>
      <c r="E3" s="2">
        <v>44928</v>
      </c>
    </row>
    <row r="4" spans="1:5">
      <c r="A4" t="s">
        <v>1545</v>
      </c>
      <c r="B4" t="s">
        <v>2045</v>
      </c>
      <c r="C4" t="s">
        <v>1537</v>
      </c>
      <c r="D4">
        <v>2050.85</v>
      </c>
      <c r="E4" s="2">
        <v>44929</v>
      </c>
    </row>
    <row r="5" spans="1:5">
      <c r="A5" t="s">
        <v>1546</v>
      </c>
      <c r="B5" t="s">
        <v>2046</v>
      </c>
      <c r="C5" t="s">
        <v>1535</v>
      </c>
      <c r="D5">
        <v>1789.67</v>
      </c>
      <c r="E5" s="2">
        <v>44930</v>
      </c>
    </row>
    <row r="6" spans="1:5">
      <c r="A6" t="s">
        <v>1547</v>
      </c>
      <c r="B6" t="s">
        <v>2047</v>
      </c>
      <c r="C6" t="s">
        <v>1535</v>
      </c>
      <c r="D6">
        <v>1591.74</v>
      </c>
      <c r="E6" s="2">
        <v>44931</v>
      </c>
    </row>
    <row r="7" spans="1:5">
      <c r="A7" t="s">
        <v>1548</v>
      </c>
      <c r="B7" t="s">
        <v>2048</v>
      </c>
      <c r="C7" t="s">
        <v>1538</v>
      </c>
      <c r="D7">
        <v>689.76</v>
      </c>
      <c r="E7" s="2">
        <v>44932</v>
      </c>
    </row>
    <row r="8" spans="1:5">
      <c r="A8" t="s">
        <v>1549</v>
      </c>
      <c r="B8" t="s">
        <v>2049</v>
      </c>
      <c r="C8" t="s">
        <v>1537</v>
      </c>
      <c r="D8">
        <v>1351.77</v>
      </c>
      <c r="E8" s="2">
        <v>44933</v>
      </c>
    </row>
    <row r="9" spans="1:5">
      <c r="A9" t="s">
        <v>1550</v>
      </c>
      <c r="B9" t="s">
        <v>2050</v>
      </c>
      <c r="C9" t="s">
        <v>1537</v>
      </c>
      <c r="D9">
        <v>3475.8</v>
      </c>
      <c r="E9" s="2">
        <v>44934</v>
      </c>
    </row>
    <row r="10" spans="1:5">
      <c r="A10" t="s">
        <v>1551</v>
      </c>
      <c r="B10" t="s">
        <v>2051</v>
      </c>
      <c r="C10" t="s">
        <v>1536</v>
      </c>
      <c r="D10">
        <v>531.94000000000005</v>
      </c>
      <c r="E10" s="2">
        <v>44935</v>
      </c>
    </row>
    <row r="11" spans="1:5">
      <c r="A11" t="s">
        <v>1552</v>
      </c>
      <c r="B11" t="s">
        <v>2052</v>
      </c>
      <c r="C11" t="s">
        <v>1535</v>
      </c>
      <c r="D11">
        <v>4526.41</v>
      </c>
      <c r="E11" s="2">
        <v>44936</v>
      </c>
    </row>
    <row r="12" spans="1:5">
      <c r="A12" t="s">
        <v>1553</v>
      </c>
      <c r="B12" t="s">
        <v>2053</v>
      </c>
      <c r="C12" t="s">
        <v>1536</v>
      </c>
      <c r="D12">
        <v>4165.13</v>
      </c>
      <c r="E12" s="2">
        <v>44937</v>
      </c>
    </row>
    <row r="13" spans="1:5">
      <c r="A13" t="s">
        <v>1554</v>
      </c>
      <c r="B13" t="s">
        <v>2054</v>
      </c>
      <c r="C13" t="s">
        <v>1536</v>
      </c>
      <c r="D13">
        <v>4600.04</v>
      </c>
      <c r="E13" s="2">
        <v>44938</v>
      </c>
    </row>
    <row r="14" spans="1:5">
      <c r="A14" t="s">
        <v>1555</v>
      </c>
      <c r="B14" t="s">
        <v>2055</v>
      </c>
      <c r="C14" t="s">
        <v>1537</v>
      </c>
      <c r="D14">
        <v>3460.93</v>
      </c>
      <c r="E14" s="2">
        <v>44939</v>
      </c>
    </row>
    <row r="15" spans="1:5">
      <c r="A15" t="s">
        <v>1556</v>
      </c>
      <c r="B15" t="s">
        <v>2056</v>
      </c>
      <c r="C15" t="s">
        <v>1535</v>
      </c>
      <c r="D15">
        <v>4258.13</v>
      </c>
      <c r="E15" s="2">
        <v>44940</v>
      </c>
    </row>
    <row r="16" spans="1:5">
      <c r="A16" t="s">
        <v>1557</v>
      </c>
      <c r="B16" t="s">
        <v>2057</v>
      </c>
      <c r="C16" t="s">
        <v>1535</v>
      </c>
      <c r="D16">
        <v>2722.94</v>
      </c>
      <c r="E16" s="2">
        <v>44941</v>
      </c>
    </row>
    <row r="17" spans="1:5">
      <c r="A17" t="s">
        <v>1558</v>
      </c>
      <c r="B17" t="s">
        <v>2058</v>
      </c>
      <c r="C17" t="s">
        <v>1537</v>
      </c>
      <c r="D17">
        <v>4478.72</v>
      </c>
      <c r="E17" s="2">
        <v>44942</v>
      </c>
    </row>
    <row r="18" spans="1:5">
      <c r="A18" t="s">
        <v>1559</v>
      </c>
      <c r="B18" t="s">
        <v>2059</v>
      </c>
      <c r="C18" t="s">
        <v>1535</v>
      </c>
      <c r="D18">
        <v>4536.46</v>
      </c>
      <c r="E18" s="2">
        <v>44943</v>
      </c>
    </row>
    <row r="19" spans="1:5">
      <c r="A19" t="s">
        <v>1560</v>
      </c>
      <c r="B19" t="s">
        <v>2060</v>
      </c>
      <c r="C19" t="s">
        <v>1535</v>
      </c>
      <c r="D19">
        <v>4395.3599999999997</v>
      </c>
      <c r="E19" s="2">
        <v>44944</v>
      </c>
    </row>
    <row r="20" spans="1:5">
      <c r="A20" t="s">
        <v>1561</v>
      </c>
      <c r="B20" t="s">
        <v>2061</v>
      </c>
      <c r="C20" t="s">
        <v>1536</v>
      </c>
      <c r="D20">
        <v>913.3</v>
      </c>
      <c r="E20" s="2">
        <v>44945</v>
      </c>
    </row>
    <row r="21" spans="1:5">
      <c r="A21" t="s">
        <v>1562</v>
      </c>
      <c r="B21" t="s">
        <v>2062</v>
      </c>
      <c r="C21" t="s">
        <v>1538</v>
      </c>
      <c r="D21">
        <v>922.52</v>
      </c>
      <c r="E21" s="2">
        <v>44946</v>
      </c>
    </row>
    <row r="22" spans="1:5">
      <c r="A22" t="s">
        <v>1563</v>
      </c>
      <c r="B22" t="s">
        <v>2063</v>
      </c>
      <c r="C22" t="s">
        <v>1536</v>
      </c>
      <c r="D22">
        <v>2169.61</v>
      </c>
      <c r="E22" s="2">
        <v>44947</v>
      </c>
    </row>
    <row r="23" spans="1:5">
      <c r="A23" t="s">
        <v>1564</v>
      </c>
      <c r="B23" t="s">
        <v>2064</v>
      </c>
      <c r="C23" t="s">
        <v>1537</v>
      </c>
      <c r="D23">
        <v>2861.98</v>
      </c>
      <c r="E23" s="2">
        <v>44948</v>
      </c>
    </row>
    <row r="24" spans="1:5">
      <c r="A24" t="s">
        <v>1565</v>
      </c>
      <c r="B24" t="s">
        <v>2065</v>
      </c>
      <c r="C24" t="s">
        <v>1535</v>
      </c>
      <c r="D24">
        <v>520.16999999999996</v>
      </c>
      <c r="E24" s="2">
        <v>44949</v>
      </c>
    </row>
    <row r="25" spans="1:5">
      <c r="A25" t="s">
        <v>1566</v>
      </c>
      <c r="B25" t="s">
        <v>2066</v>
      </c>
      <c r="C25" t="s">
        <v>1537</v>
      </c>
      <c r="D25">
        <v>883.77</v>
      </c>
      <c r="E25" s="2">
        <v>44950</v>
      </c>
    </row>
    <row r="26" spans="1:5">
      <c r="A26" t="s">
        <v>1567</v>
      </c>
      <c r="B26" t="s">
        <v>2067</v>
      </c>
      <c r="C26" t="s">
        <v>1537</v>
      </c>
      <c r="D26">
        <v>2096.0100000000002</v>
      </c>
      <c r="E26" s="2">
        <v>44951</v>
      </c>
    </row>
    <row r="27" spans="1:5">
      <c r="A27" t="s">
        <v>1568</v>
      </c>
      <c r="B27" t="s">
        <v>2068</v>
      </c>
      <c r="C27" t="s">
        <v>1537</v>
      </c>
      <c r="D27">
        <v>4959.88</v>
      </c>
      <c r="E27" s="2">
        <v>44952</v>
      </c>
    </row>
    <row r="28" spans="1:5">
      <c r="A28" t="s">
        <v>1569</v>
      </c>
      <c r="B28" t="s">
        <v>2069</v>
      </c>
      <c r="C28" t="s">
        <v>1538</v>
      </c>
      <c r="D28">
        <v>2799.93</v>
      </c>
      <c r="E28" s="2">
        <v>44953</v>
      </c>
    </row>
    <row r="29" spans="1:5">
      <c r="A29" t="s">
        <v>1570</v>
      </c>
      <c r="B29" t="s">
        <v>2070</v>
      </c>
      <c r="C29" t="s">
        <v>1538</v>
      </c>
      <c r="D29">
        <v>962.93</v>
      </c>
      <c r="E29" s="2">
        <v>44954</v>
      </c>
    </row>
    <row r="30" spans="1:5">
      <c r="A30" t="s">
        <v>1571</v>
      </c>
      <c r="B30" t="s">
        <v>2071</v>
      </c>
      <c r="C30" t="s">
        <v>1537</v>
      </c>
      <c r="D30">
        <v>3454.47</v>
      </c>
      <c r="E30" s="2">
        <v>44955</v>
      </c>
    </row>
    <row r="31" spans="1:5">
      <c r="A31" t="s">
        <v>1572</v>
      </c>
      <c r="B31" t="s">
        <v>2072</v>
      </c>
      <c r="C31" t="s">
        <v>1536</v>
      </c>
      <c r="D31">
        <v>3479.22</v>
      </c>
      <c r="E31" s="2">
        <v>44956</v>
      </c>
    </row>
    <row r="32" spans="1:5">
      <c r="A32" t="s">
        <v>1573</v>
      </c>
      <c r="B32" t="s">
        <v>2073</v>
      </c>
      <c r="C32" t="s">
        <v>1535</v>
      </c>
      <c r="D32">
        <v>732.28</v>
      </c>
      <c r="E32" s="2">
        <v>44957</v>
      </c>
    </row>
    <row r="33" spans="1:5">
      <c r="A33" t="s">
        <v>1574</v>
      </c>
      <c r="B33" t="s">
        <v>2074</v>
      </c>
      <c r="C33" t="s">
        <v>1538</v>
      </c>
      <c r="D33">
        <v>4632.1400000000003</v>
      </c>
      <c r="E33" s="2">
        <v>44958</v>
      </c>
    </row>
    <row r="34" spans="1:5">
      <c r="A34" t="s">
        <v>1575</v>
      </c>
      <c r="B34" t="s">
        <v>2075</v>
      </c>
      <c r="C34" t="s">
        <v>1538</v>
      </c>
      <c r="D34">
        <v>1148.5899999999999</v>
      </c>
      <c r="E34" s="2">
        <v>44959</v>
      </c>
    </row>
    <row r="35" spans="1:5">
      <c r="A35" t="s">
        <v>1576</v>
      </c>
      <c r="B35" t="s">
        <v>2076</v>
      </c>
      <c r="C35" t="s">
        <v>1535</v>
      </c>
      <c r="D35">
        <v>969.07</v>
      </c>
      <c r="E35" s="2">
        <v>44960</v>
      </c>
    </row>
    <row r="36" spans="1:5">
      <c r="A36" t="s">
        <v>1577</v>
      </c>
      <c r="B36" t="s">
        <v>2077</v>
      </c>
      <c r="C36" t="s">
        <v>1536</v>
      </c>
      <c r="D36">
        <v>2994.93</v>
      </c>
      <c r="E36" s="2">
        <v>44961</v>
      </c>
    </row>
    <row r="37" spans="1:5">
      <c r="A37" t="s">
        <v>1578</v>
      </c>
      <c r="B37" t="s">
        <v>2078</v>
      </c>
      <c r="C37" t="s">
        <v>1538</v>
      </c>
      <c r="D37">
        <v>3661.32</v>
      </c>
      <c r="E37" s="2">
        <v>44962</v>
      </c>
    </row>
    <row r="38" spans="1:5">
      <c r="A38" t="s">
        <v>1579</v>
      </c>
      <c r="B38" t="s">
        <v>2079</v>
      </c>
      <c r="C38" t="s">
        <v>1537</v>
      </c>
      <c r="D38">
        <v>2470.02</v>
      </c>
      <c r="E38" s="2">
        <v>44963</v>
      </c>
    </row>
    <row r="39" spans="1:5">
      <c r="A39" t="s">
        <v>1580</v>
      </c>
      <c r="B39" t="s">
        <v>2080</v>
      </c>
      <c r="C39" t="s">
        <v>1535</v>
      </c>
      <c r="D39">
        <v>4155.3900000000003</v>
      </c>
      <c r="E39" s="2">
        <v>44964</v>
      </c>
    </row>
    <row r="40" spans="1:5">
      <c r="A40" t="s">
        <v>1581</v>
      </c>
      <c r="B40" t="s">
        <v>2081</v>
      </c>
      <c r="C40" t="s">
        <v>1535</v>
      </c>
      <c r="D40">
        <v>4795.7299999999996</v>
      </c>
      <c r="E40" s="2">
        <v>44965</v>
      </c>
    </row>
    <row r="41" spans="1:5">
      <c r="A41" t="s">
        <v>1582</v>
      </c>
      <c r="B41" t="s">
        <v>2082</v>
      </c>
      <c r="C41" t="s">
        <v>1536</v>
      </c>
      <c r="D41">
        <v>2368.25</v>
      </c>
      <c r="E41" s="2">
        <v>44966</v>
      </c>
    </row>
    <row r="42" spans="1:5">
      <c r="A42" t="s">
        <v>1583</v>
      </c>
      <c r="B42" t="s">
        <v>2083</v>
      </c>
      <c r="C42" t="s">
        <v>1535</v>
      </c>
      <c r="D42">
        <v>2059.46</v>
      </c>
      <c r="E42" s="2">
        <v>44967</v>
      </c>
    </row>
    <row r="43" spans="1:5">
      <c r="A43" t="s">
        <v>1584</v>
      </c>
      <c r="B43" t="s">
        <v>2084</v>
      </c>
      <c r="C43" t="s">
        <v>1537</v>
      </c>
      <c r="D43">
        <v>445.06</v>
      </c>
      <c r="E43" s="2">
        <v>44968</v>
      </c>
    </row>
    <row r="44" spans="1:5">
      <c r="A44" t="s">
        <v>1585</v>
      </c>
      <c r="B44" t="s">
        <v>2085</v>
      </c>
      <c r="C44" t="s">
        <v>1538</v>
      </c>
      <c r="D44">
        <v>4222.26</v>
      </c>
      <c r="E44" s="2">
        <v>44969</v>
      </c>
    </row>
    <row r="45" spans="1:5">
      <c r="A45" t="s">
        <v>1586</v>
      </c>
      <c r="B45" t="s">
        <v>2086</v>
      </c>
      <c r="C45" t="s">
        <v>1536</v>
      </c>
      <c r="D45">
        <v>1869.71</v>
      </c>
      <c r="E45" s="2">
        <v>44970</v>
      </c>
    </row>
    <row r="46" spans="1:5">
      <c r="A46" t="s">
        <v>1587</v>
      </c>
      <c r="B46" t="s">
        <v>2087</v>
      </c>
      <c r="C46" t="s">
        <v>1536</v>
      </c>
      <c r="D46">
        <v>4605.3</v>
      </c>
      <c r="E46" s="2">
        <v>44971</v>
      </c>
    </row>
    <row r="47" spans="1:5">
      <c r="A47" t="s">
        <v>1588</v>
      </c>
      <c r="B47" t="s">
        <v>2088</v>
      </c>
      <c r="C47" t="s">
        <v>1538</v>
      </c>
      <c r="D47">
        <v>3641.57</v>
      </c>
      <c r="E47" s="2">
        <v>44972</v>
      </c>
    </row>
    <row r="48" spans="1:5">
      <c r="A48" t="s">
        <v>1589</v>
      </c>
      <c r="B48" t="s">
        <v>2089</v>
      </c>
      <c r="C48" t="s">
        <v>1536</v>
      </c>
      <c r="D48">
        <v>2910.31</v>
      </c>
      <c r="E48" s="2">
        <v>44973</v>
      </c>
    </row>
    <row r="49" spans="1:5">
      <c r="A49" t="s">
        <v>1590</v>
      </c>
      <c r="B49" t="s">
        <v>2090</v>
      </c>
      <c r="C49" t="s">
        <v>1538</v>
      </c>
      <c r="D49">
        <v>4511.47</v>
      </c>
      <c r="E49" s="2">
        <v>44974</v>
      </c>
    </row>
    <row r="50" spans="1:5">
      <c r="A50" t="s">
        <v>1591</v>
      </c>
      <c r="B50" t="s">
        <v>2091</v>
      </c>
      <c r="C50" t="s">
        <v>1535</v>
      </c>
      <c r="D50">
        <v>704.08</v>
      </c>
      <c r="E50" s="2">
        <v>44975</v>
      </c>
    </row>
    <row r="51" spans="1:5">
      <c r="A51" t="s">
        <v>1592</v>
      </c>
      <c r="B51" t="s">
        <v>2092</v>
      </c>
      <c r="C51" t="s">
        <v>1537</v>
      </c>
      <c r="D51">
        <v>393.81</v>
      </c>
      <c r="E51" s="2">
        <v>44976</v>
      </c>
    </row>
    <row r="52" spans="1:5">
      <c r="A52" t="s">
        <v>1593</v>
      </c>
      <c r="B52" t="s">
        <v>2093</v>
      </c>
      <c r="C52" t="s">
        <v>1535</v>
      </c>
      <c r="D52">
        <v>622.36</v>
      </c>
      <c r="E52" s="2">
        <v>44977</v>
      </c>
    </row>
    <row r="53" spans="1:5">
      <c r="A53" t="s">
        <v>1594</v>
      </c>
      <c r="B53" t="s">
        <v>2094</v>
      </c>
      <c r="C53" t="s">
        <v>1535</v>
      </c>
      <c r="D53">
        <v>2186.6999999999998</v>
      </c>
      <c r="E53" s="2">
        <v>44978</v>
      </c>
    </row>
    <row r="54" spans="1:5">
      <c r="A54" t="s">
        <v>1595</v>
      </c>
      <c r="B54" t="s">
        <v>2095</v>
      </c>
      <c r="C54" t="s">
        <v>1538</v>
      </c>
      <c r="D54">
        <v>1556.82</v>
      </c>
      <c r="E54" s="2">
        <v>44979</v>
      </c>
    </row>
    <row r="55" spans="1:5">
      <c r="A55" t="s">
        <v>1596</v>
      </c>
      <c r="B55" t="s">
        <v>2096</v>
      </c>
      <c r="C55" t="s">
        <v>1536</v>
      </c>
      <c r="D55">
        <v>1942.01</v>
      </c>
      <c r="E55" s="2">
        <v>44980</v>
      </c>
    </row>
    <row r="56" spans="1:5">
      <c r="A56" t="s">
        <v>1597</v>
      </c>
      <c r="B56" t="s">
        <v>2097</v>
      </c>
      <c r="C56" t="s">
        <v>1536</v>
      </c>
      <c r="D56">
        <v>899.1</v>
      </c>
      <c r="E56" s="2">
        <v>44981</v>
      </c>
    </row>
    <row r="57" spans="1:5">
      <c r="A57" t="s">
        <v>1598</v>
      </c>
      <c r="B57" t="s">
        <v>2098</v>
      </c>
      <c r="C57" t="s">
        <v>1535</v>
      </c>
      <c r="D57">
        <v>4586.37</v>
      </c>
      <c r="E57" s="2">
        <v>44982</v>
      </c>
    </row>
    <row r="58" spans="1:5">
      <c r="A58" t="s">
        <v>1599</v>
      </c>
      <c r="B58" t="s">
        <v>2099</v>
      </c>
      <c r="C58" t="s">
        <v>1538</v>
      </c>
      <c r="D58">
        <v>3820.99</v>
      </c>
      <c r="E58" s="2">
        <v>44983</v>
      </c>
    </row>
    <row r="59" spans="1:5">
      <c r="A59" t="s">
        <v>1600</v>
      </c>
      <c r="B59" t="s">
        <v>2100</v>
      </c>
      <c r="C59" t="s">
        <v>1536</v>
      </c>
      <c r="D59">
        <v>3791.28</v>
      </c>
      <c r="E59" s="2">
        <v>44984</v>
      </c>
    </row>
    <row r="60" spans="1:5">
      <c r="A60" t="s">
        <v>1601</v>
      </c>
      <c r="B60" t="s">
        <v>2101</v>
      </c>
      <c r="C60" t="s">
        <v>1537</v>
      </c>
      <c r="D60">
        <v>2387.75</v>
      </c>
      <c r="E60" s="2">
        <v>44985</v>
      </c>
    </row>
    <row r="61" spans="1:5">
      <c r="A61" t="s">
        <v>1602</v>
      </c>
      <c r="B61" t="s">
        <v>2102</v>
      </c>
      <c r="C61" t="s">
        <v>1535</v>
      </c>
      <c r="D61">
        <v>1251.92</v>
      </c>
      <c r="E61" s="2">
        <v>44986</v>
      </c>
    </row>
    <row r="62" spans="1:5">
      <c r="A62" t="s">
        <v>1603</v>
      </c>
      <c r="B62" t="s">
        <v>2103</v>
      </c>
      <c r="C62" t="s">
        <v>1535</v>
      </c>
      <c r="D62">
        <v>3583.13</v>
      </c>
      <c r="E62" s="2">
        <v>44987</v>
      </c>
    </row>
    <row r="63" spans="1:5">
      <c r="A63" t="s">
        <v>1604</v>
      </c>
      <c r="B63" t="s">
        <v>2104</v>
      </c>
      <c r="C63" t="s">
        <v>1537</v>
      </c>
      <c r="D63">
        <v>3848.37</v>
      </c>
      <c r="E63" s="2">
        <v>44988</v>
      </c>
    </row>
    <row r="64" spans="1:5">
      <c r="A64" t="s">
        <v>1605</v>
      </c>
      <c r="B64" t="s">
        <v>2105</v>
      </c>
      <c r="C64" t="s">
        <v>1536</v>
      </c>
      <c r="D64">
        <v>1951.55</v>
      </c>
      <c r="E64" s="2">
        <v>44989</v>
      </c>
    </row>
    <row r="65" spans="1:5">
      <c r="A65" t="s">
        <v>1606</v>
      </c>
      <c r="B65" t="s">
        <v>2106</v>
      </c>
      <c r="C65" t="s">
        <v>1538</v>
      </c>
      <c r="D65">
        <v>4739.46</v>
      </c>
      <c r="E65" s="2">
        <v>44990</v>
      </c>
    </row>
    <row r="66" spans="1:5">
      <c r="A66" t="s">
        <v>1607</v>
      </c>
      <c r="B66" t="s">
        <v>2107</v>
      </c>
      <c r="C66" t="s">
        <v>1536</v>
      </c>
      <c r="D66">
        <v>1275.03</v>
      </c>
      <c r="E66" s="2">
        <v>44991</v>
      </c>
    </row>
    <row r="67" spans="1:5">
      <c r="A67" t="s">
        <v>1608</v>
      </c>
      <c r="B67" t="s">
        <v>2108</v>
      </c>
      <c r="C67" t="s">
        <v>1536</v>
      </c>
      <c r="D67">
        <v>1205.97</v>
      </c>
      <c r="E67" s="2">
        <v>44992</v>
      </c>
    </row>
    <row r="68" spans="1:5">
      <c r="A68" t="s">
        <v>1609</v>
      </c>
      <c r="B68" t="s">
        <v>2109</v>
      </c>
      <c r="C68" t="s">
        <v>1536</v>
      </c>
      <c r="D68">
        <v>3244.06</v>
      </c>
      <c r="E68" s="2">
        <v>44993</v>
      </c>
    </row>
    <row r="69" spans="1:5">
      <c r="A69" t="s">
        <v>1610</v>
      </c>
      <c r="B69" t="s">
        <v>2110</v>
      </c>
      <c r="C69" t="s">
        <v>1535</v>
      </c>
      <c r="D69">
        <v>1724.49</v>
      </c>
      <c r="E69" s="2">
        <v>44994</v>
      </c>
    </row>
    <row r="70" spans="1:5">
      <c r="A70" t="s">
        <v>1611</v>
      </c>
      <c r="B70" t="s">
        <v>2111</v>
      </c>
      <c r="C70" t="s">
        <v>1536</v>
      </c>
      <c r="D70">
        <v>4557.32</v>
      </c>
      <c r="E70" s="2">
        <v>44995</v>
      </c>
    </row>
    <row r="71" spans="1:5">
      <c r="A71" t="s">
        <v>1612</v>
      </c>
      <c r="B71" t="s">
        <v>2112</v>
      </c>
      <c r="C71" t="s">
        <v>1536</v>
      </c>
      <c r="D71">
        <v>3014.95</v>
      </c>
      <c r="E71" s="2">
        <v>44996</v>
      </c>
    </row>
    <row r="72" spans="1:5">
      <c r="A72" t="s">
        <v>1613</v>
      </c>
      <c r="B72" t="s">
        <v>2113</v>
      </c>
      <c r="C72" t="s">
        <v>1538</v>
      </c>
      <c r="D72">
        <v>4446.26</v>
      </c>
      <c r="E72" s="2">
        <v>44997</v>
      </c>
    </row>
    <row r="73" spans="1:5">
      <c r="A73" t="s">
        <v>1614</v>
      </c>
      <c r="B73" t="s">
        <v>2114</v>
      </c>
      <c r="C73" t="s">
        <v>1537</v>
      </c>
      <c r="D73">
        <v>925.5</v>
      </c>
      <c r="E73" s="2">
        <v>44998</v>
      </c>
    </row>
    <row r="74" spans="1:5">
      <c r="A74" t="s">
        <v>1615</v>
      </c>
      <c r="B74" t="s">
        <v>2115</v>
      </c>
      <c r="C74" t="s">
        <v>1535</v>
      </c>
      <c r="D74">
        <v>3589.68</v>
      </c>
      <c r="E74" s="2">
        <v>44999</v>
      </c>
    </row>
    <row r="75" spans="1:5">
      <c r="A75" t="s">
        <v>1616</v>
      </c>
      <c r="B75" t="s">
        <v>2116</v>
      </c>
      <c r="C75" t="s">
        <v>1535</v>
      </c>
      <c r="D75">
        <v>2088.5100000000002</v>
      </c>
      <c r="E75" s="2">
        <v>45000</v>
      </c>
    </row>
    <row r="76" spans="1:5">
      <c r="A76" t="s">
        <v>1617</v>
      </c>
      <c r="B76" t="s">
        <v>2117</v>
      </c>
      <c r="C76" t="s">
        <v>1537</v>
      </c>
      <c r="D76">
        <v>4584.96</v>
      </c>
      <c r="E76" s="2">
        <v>45001</v>
      </c>
    </row>
    <row r="77" spans="1:5">
      <c r="A77" t="s">
        <v>1618</v>
      </c>
      <c r="B77" t="s">
        <v>2118</v>
      </c>
      <c r="C77" t="s">
        <v>1537</v>
      </c>
      <c r="D77">
        <v>1201.98</v>
      </c>
      <c r="E77" s="2">
        <v>45002</v>
      </c>
    </row>
    <row r="78" spans="1:5">
      <c r="A78" t="s">
        <v>1619</v>
      </c>
      <c r="B78" t="s">
        <v>2119</v>
      </c>
      <c r="C78" t="s">
        <v>1538</v>
      </c>
      <c r="D78">
        <v>2282.6999999999998</v>
      </c>
      <c r="E78" s="2">
        <v>45003</v>
      </c>
    </row>
    <row r="79" spans="1:5">
      <c r="A79" t="s">
        <v>1620</v>
      </c>
      <c r="B79" t="s">
        <v>2120</v>
      </c>
      <c r="C79" t="s">
        <v>1536</v>
      </c>
      <c r="D79">
        <v>3488.98</v>
      </c>
      <c r="E79" s="2">
        <v>45004</v>
      </c>
    </row>
    <row r="80" spans="1:5">
      <c r="A80" t="s">
        <v>1621</v>
      </c>
      <c r="B80" t="s">
        <v>2121</v>
      </c>
      <c r="C80" t="s">
        <v>1536</v>
      </c>
      <c r="D80">
        <v>2040.29</v>
      </c>
      <c r="E80" s="2">
        <v>45005</v>
      </c>
    </row>
    <row r="81" spans="1:5">
      <c r="A81" t="s">
        <v>1622</v>
      </c>
      <c r="B81" t="s">
        <v>2122</v>
      </c>
      <c r="C81" t="s">
        <v>1535</v>
      </c>
      <c r="D81">
        <v>4691.2</v>
      </c>
      <c r="E81" s="2">
        <v>45006</v>
      </c>
    </row>
    <row r="82" spans="1:5">
      <c r="A82" t="s">
        <v>1623</v>
      </c>
      <c r="B82" t="s">
        <v>2123</v>
      </c>
      <c r="C82" t="s">
        <v>1535</v>
      </c>
      <c r="D82">
        <v>1167.27</v>
      </c>
      <c r="E82" s="2">
        <v>45007</v>
      </c>
    </row>
    <row r="83" spans="1:5">
      <c r="A83" t="s">
        <v>1624</v>
      </c>
      <c r="B83" t="s">
        <v>2124</v>
      </c>
      <c r="C83" t="s">
        <v>1535</v>
      </c>
      <c r="D83">
        <v>1964.47</v>
      </c>
      <c r="E83" s="2">
        <v>45008</v>
      </c>
    </row>
    <row r="84" spans="1:5">
      <c r="A84" t="s">
        <v>1625</v>
      </c>
      <c r="B84" t="s">
        <v>2125</v>
      </c>
      <c r="C84" t="s">
        <v>1536</v>
      </c>
      <c r="D84">
        <v>4747.91</v>
      </c>
      <c r="E84" s="2">
        <v>45009</v>
      </c>
    </row>
    <row r="85" spans="1:5">
      <c r="A85" t="s">
        <v>1626</v>
      </c>
      <c r="B85" t="s">
        <v>2126</v>
      </c>
      <c r="C85" t="s">
        <v>1535</v>
      </c>
      <c r="D85">
        <v>2142.37</v>
      </c>
      <c r="E85" s="2">
        <v>45010</v>
      </c>
    </row>
    <row r="86" spans="1:5">
      <c r="A86" t="s">
        <v>1627</v>
      </c>
      <c r="B86" t="s">
        <v>2127</v>
      </c>
      <c r="C86" t="s">
        <v>1535</v>
      </c>
      <c r="D86">
        <v>1238.3699999999999</v>
      </c>
      <c r="E86" s="2">
        <v>45011</v>
      </c>
    </row>
    <row r="87" spans="1:5">
      <c r="A87" t="s">
        <v>1628</v>
      </c>
      <c r="B87" t="s">
        <v>2128</v>
      </c>
      <c r="C87" t="s">
        <v>1537</v>
      </c>
      <c r="D87">
        <v>1694.44</v>
      </c>
      <c r="E87" s="2">
        <v>45012</v>
      </c>
    </row>
    <row r="88" spans="1:5">
      <c r="A88" t="s">
        <v>1629</v>
      </c>
      <c r="B88" t="s">
        <v>2129</v>
      </c>
      <c r="C88" t="s">
        <v>1535</v>
      </c>
      <c r="D88">
        <v>4267.32</v>
      </c>
      <c r="E88" s="2">
        <v>45013</v>
      </c>
    </row>
    <row r="89" spans="1:5">
      <c r="A89" t="s">
        <v>1630</v>
      </c>
      <c r="B89" t="s">
        <v>2130</v>
      </c>
      <c r="C89" t="s">
        <v>1536</v>
      </c>
      <c r="D89">
        <v>360.22</v>
      </c>
      <c r="E89" s="2">
        <v>45014</v>
      </c>
    </row>
    <row r="90" spans="1:5">
      <c r="A90" t="s">
        <v>1631</v>
      </c>
      <c r="B90" t="s">
        <v>2131</v>
      </c>
      <c r="C90" t="s">
        <v>1537</v>
      </c>
      <c r="D90">
        <v>4461.1099999999997</v>
      </c>
      <c r="E90" s="2">
        <v>45015</v>
      </c>
    </row>
    <row r="91" spans="1:5">
      <c r="A91" t="s">
        <v>1632</v>
      </c>
      <c r="B91" t="s">
        <v>2132</v>
      </c>
      <c r="C91" t="s">
        <v>1536</v>
      </c>
      <c r="D91">
        <v>287.56</v>
      </c>
      <c r="E91" s="2">
        <v>45016</v>
      </c>
    </row>
    <row r="92" spans="1:5">
      <c r="A92" t="s">
        <v>1633</v>
      </c>
      <c r="B92" t="s">
        <v>2133</v>
      </c>
      <c r="C92" t="s">
        <v>1538</v>
      </c>
      <c r="D92">
        <v>3874.32</v>
      </c>
      <c r="E92" s="2">
        <v>45017</v>
      </c>
    </row>
    <row r="93" spans="1:5">
      <c r="A93" t="s">
        <v>1634</v>
      </c>
      <c r="B93" t="s">
        <v>2134</v>
      </c>
      <c r="C93" t="s">
        <v>1538</v>
      </c>
      <c r="D93">
        <v>2885.78</v>
      </c>
      <c r="E93" s="2">
        <v>45018</v>
      </c>
    </row>
    <row r="94" spans="1:5">
      <c r="A94" t="s">
        <v>1635</v>
      </c>
      <c r="B94" t="s">
        <v>2135</v>
      </c>
      <c r="C94" t="s">
        <v>1536</v>
      </c>
      <c r="D94">
        <v>3158.33</v>
      </c>
      <c r="E94" s="2">
        <v>45019</v>
      </c>
    </row>
    <row r="95" spans="1:5">
      <c r="A95" t="s">
        <v>1636</v>
      </c>
      <c r="B95" t="s">
        <v>2136</v>
      </c>
      <c r="C95" t="s">
        <v>1537</v>
      </c>
      <c r="D95">
        <v>4028.12</v>
      </c>
      <c r="E95" s="2">
        <v>45020</v>
      </c>
    </row>
    <row r="96" spans="1:5">
      <c r="A96" t="s">
        <v>1637</v>
      </c>
      <c r="B96" t="s">
        <v>2137</v>
      </c>
      <c r="C96" t="s">
        <v>1538</v>
      </c>
      <c r="D96">
        <v>991.64</v>
      </c>
      <c r="E96" s="2">
        <v>45021</v>
      </c>
    </row>
    <row r="97" spans="1:5">
      <c r="A97" t="s">
        <v>1638</v>
      </c>
      <c r="B97" t="s">
        <v>2138</v>
      </c>
      <c r="C97" t="s">
        <v>1538</v>
      </c>
      <c r="D97">
        <v>1668.71</v>
      </c>
      <c r="E97" s="2">
        <v>45022</v>
      </c>
    </row>
    <row r="98" spans="1:5">
      <c r="A98" t="s">
        <v>1639</v>
      </c>
      <c r="B98" t="s">
        <v>2139</v>
      </c>
      <c r="C98" t="s">
        <v>1536</v>
      </c>
      <c r="D98">
        <v>4789.57</v>
      </c>
      <c r="E98" s="2">
        <v>45023</v>
      </c>
    </row>
    <row r="99" spans="1:5">
      <c r="A99" t="s">
        <v>1640</v>
      </c>
      <c r="B99" t="s">
        <v>2140</v>
      </c>
      <c r="C99" t="s">
        <v>1537</v>
      </c>
      <c r="D99">
        <v>515.11</v>
      </c>
      <c r="E99" s="2">
        <v>45024</v>
      </c>
    </row>
    <row r="100" spans="1:5">
      <c r="A100" t="s">
        <v>1641</v>
      </c>
      <c r="B100" t="s">
        <v>2141</v>
      </c>
      <c r="C100" t="s">
        <v>1537</v>
      </c>
      <c r="D100">
        <v>815.41</v>
      </c>
      <c r="E100" s="2">
        <v>45025</v>
      </c>
    </row>
    <row r="101" spans="1:5">
      <c r="A101" t="s">
        <v>1642</v>
      </c>
      <c r="B101" t="s">
        <v>2142</v>
      </c>
      <c r="C101" t="s">
        <v>1538</v>
      </c>
      <c r="D101">
        <v>4898.47</v>
      </c>
      <c r="E101" s="2">
        <v>45026</v>
      </c>
    </row>
    <row r="102" spans="1:5">
      <c r="A102" t="s">
        <v>1643</v>
      </c>
      <c r="B102" t="s">
        <v>2143</v>
      </c>
      <c r="C102" t="s">
        <v>1537</v>
      </c>
      <c r="D102">
        <v>2931.88</v>
      </c>
      <c r="E102" s="2">
        <v>45027</v>
      </c>
    </row>
    <row r="103" spans="1:5">
      <c r="A103" t="s">
        <v>1644</v>
      </c>
      <c r="B103" t="s">
        <v>2144</v>
      </c>
      <c r="C103" t="s">
        <v>1535</v>
      </c>
      <c r="D103">
        <v>2811.85</v>
      </c>
      <c r="E103" s="2">
        <v>45028</v>
      </c>
    </row>
    <row r="104" spans="1:5">
      <c r="A104" t="s">
        <v>1645</v>
      </c>
      <c r="B104" t="s">
        <v>2145</v>
      </c>
      <c r="C104" t="s">
        <v>1535</v>
      </c>
      <c r="D104">
        <v>4507.0200000000004</v>
      </c>
      <c r="E104" s="2">
        <v>45029</v>
      </c>
    </row>
    <row r="105" spans="1:5">
      <c r="A105" t="s">
        <v>1646</v>
      </c>
      <c r="B105" t="s">
        <v>2146</v>
      </c>
      <c r="C105" t="s">
        <v>1535</v>
      </c>
      <c r="D105">
        <v>4242.53</v>
      </c>
      <c r="E105" s="2">
        <v>45030</v>
      </c>
    </row>
    <row r="106" spans="1:5">
      <c r="A106" t="s">
        <v>1647</v>
      </c>
      <c r="B106" t="s">
        <v>2147</v>
      </c>
      <c r="C106" t="s">
        <v>1538</v>
      </c>
      <c r="D106">
        <v>1068.69</v>
      </c>
      <c r="E106" s="2">
        <v>45031</v>
      </c>
    </row>
    <row r="107" spans="1:5">
      <c r="A107" t="s">
        <v>1648</v>
      </c>
      <c r="B107" t="s">
        <v>2148</v>
      </c>
      <c r="C107" t="s">
        <v>1538</v>
      </c>
      <c r="D107">
        <v>241.72</v>
      </c>
      <c r="E107" s="2">
        <v>45032</v>
      </c>
    </row>
    <row r="108" spans="1:5">
      <c r="A108" t="s">
        <v>1649</v>
      </c>
      <c r="B108" t="s">
        <v>2149</v>
      </c>
      <c r="C108" t="s">
        <v>1535</v>
      </c>
      <c r="D108">
        <v>3064.52</v>
      </c>
      <c r="E108" s="2">
        <v>45033</v>
      </c>
    </row>
    <row r="109" spans="1:5">
      <c r="A109" t="s">
        <v>1650</v>
      </c>
      <c r="B109" t="s">
        <v>2150</v>
      </c>
      <c r="C109" t="s">
        <v>1537</v>
      </c>
      <c r="D109">
        <v>121.3</v>
      </c>
      <c r="E109" s="2">
        <v>45034</v>
      </c>
    </row>
    <row r="110" spans="1:5">
      <c r="A110" t="s">
        <v>1651</v>
      </c>
      <c r="B110" t="s">
        <v>2151</v>
      </c>
      <c r="C110" t="s">
        <v>1538</v>
      </c>
      <c r="D110">
        <v>1480.79</v>
      </c>
      <c r="E110" s="2">
        <v>45035</v>
      </c>
    </row>
    <row r="111" spans="1:5">
      <c r="A111" t="s">
        <v>1652</v>
      </c>
      <c r="B111" t="s">
        <v>2152</v>
      </c>
      <c r="C111" t="s">
        <v>1538</v>
      </c>
      <c r="D111">
        <v>885.13</v>
      </c>
      <c r="E111" s="2">
        <v>45036</v>
      </c>
    </row>
    <row r="112" spans="1:5">
      <c r="A112" t="s">
        <v>1653</v>
      </c>
      <c r="B112" t="s">
        <v>2153</v>
      </c>
      <c r="C112" t="s">
        <v>1536</v>
      </c>
      <c r="D112">
        <v>2827.68</v>
      </c>
      <c r="E112" s="2">
        <v>45037</v>
      </c>
    </row>
    <row r="113" spans="1:5">
      <c r="A113" t="s">
        <v>1654</v>
      </c>
      <c r="B113" t="s">
        <v>2154</v>
      </c>
      <c r="C113" t="s">
        <v>1538</v>
      </c>
      <c r="D113">
        <v>619.80999999999995</v>
      </c>
      <c r="E113" s="2">
        <v>45038</v>
      </c>
    </row>
    <row r="114" spans="1:5">
      <c r="A114" t="s">
        <v>1655</v>
      </c>
      <c r="B114" t="s">
        <v>2155</v>
      </c>
      <c r="C114" t="s">
        <v>1536</v>
      </c>
      <c r="D114">
        <v>3874.35</v>
      </c>
      <c r="E114" s="2">
        <v>45039</v>
      </c>
    </row>
    <row r="115" spans="1:5">
      <c r="A115" t="s">
        <v>1656</v>
      </c>
      <c r="B115" t="s">
        <v>2156</v>
      </c>
      <c r="C115" t="s">
        <v>1535</v>
      </c>
      <c r="D115">
        <v>2677.94</v>
      </c>
      <c r="E115" s="2">
        <v>45040</v>
      </c>
    </row>
    <row r="116" spans="1:5">
      <c r="A116" t="s">
        <v>1657</v>
      </c>
      <c r="B116" t="s">
        <v>2157</v>
      </c>
      <c r="C116" t="s">
        <v>1537</v>
      </c>
      <c r="D116">
        <v>4638.8500000000004</v>
      </c>
      <c r="E116" s="2">
        <v>45041</v>
      </c>
    </row>
    <row r="117" spans="1:5">
      <c r="A117" t="s">
        <v>1658</v>
      </c>
      <c r="B117" t="s">
        <v>2158</v>
      </c>
      <c r="C117" t="s">
        <v>1535</v>
      </c>
      <c r="D117">
        <v>3683.17</v>
      </c>
      <c r="E117" s="2">
        <v>45042</v>
      </c>
    </row>
    <row r="118" spans="1:5">
      <c r="A118" t="s">
        <v>1659</v>
      </c>
      <c r="B118" t="s">
        <v>2159</v>
      </c>
      <c r="C118" t="s">
        <v>1536</v>
      </c>
      <c r="D118">
        <v>2302.62</v>
      </c>
      <c r="E118" s="2">
        <v>45043</v>
      </c>
    </row>
    <row r="119" spans="1:5">
      <c r="A119" t="s">
        <v>1660</v>
      </c>
      <c r="B119" t="s">
        <v>2160</v>
      </c>
      <c r="C119" t="s">
        <v>1537</v>
      </c>
      <c r="D119">
        <v>1801.06</v>
      </c>
      <c r="E119" s="2">
        <v>45044</v>
      </c>
    </row>
    <row r="120" spans="1:5">
      <c r="A120" t="s">
        <v>1661</v>
      </c>
      <c r="B120" t="s">
        <v>2161</v>
      </c>
      <c r="C120" t="s">
        <v>1537</v>
      </c>
      <c r="D120">
        <v>4564.17</v>
      </c>
      <c r="E120" s="2">
        <v>45045</v>
      </c>
    </row>
    <row r="121" spans="1:5">
      <c r="A121" t="s">
        <v>1662</v>
      </c>
      <c r="B121" t="s">
        <v>2162</v>
      </c>
      <c r="C121" t="s">
        <v>1537</v>
      </c>
      <c r="D121">
        <v>2592.04</v>
      </c>
      <c r="E121" s="2">
        <v>45046</v>
      </c>
    </row>
    <row r="122" spans="1:5">
      <c r="A122" t="s">
        <v>1663</v>
      </c>
      <c r="B122" t="s">
        <v>2163</v>
      </c>
      <c r="C122" t="s">
        <v>1537</v>
      </c>
      <c r="D122">
        <v>3690.25</v>
      </c>
      <c r="E122" s="2">
        <v>45047</v>
      </c>
    </row>
    <row r="123" spans="1:5">
      <c r="A123" t="s">
        <v>1664</v>
      </c>
      <c r="B123" t="s">
        <v>2164</v>
      </c>
      <c r="C123" t="s">
        <v>1537</v>
      </c>
      <c r="D123">
        <v>824.13</v>
      </c>
      <c r="E123" s="2">
        <v>45048</v>
      </c>
    </row>
    <row r="124" spans="1:5">
      <c r="A124" t="s">
        <v>1665</v>
      </c>
      <c r="B124" t="s">
        <v>2165</v>
      </c>
      <c r="C124" t="s">
        <v>1538</v>
      </c>
      <c r="D124">
        <v>1490.02</v>
      </c>
      <c r="E124" s="2">
        <v>45049</v>
      </c>
    </row>
    <row r="125" spans="1:5">
      <c r="A125" t="s">
        <v>1666</v>
      </c>
      <c r="B125" t="s">
        <v>2166</v>
      </c>
      <c r="C125" t="s">
        <v>1537</v>
      </c>
      <c r="D125">
        <v>1116.51</v>
      </c>
      <c r="E125" s="2">
        <v>45050</v>
      </c>
    </row>
    <row r="126" spans="1:5">
      <c r="A126" t="s">
        <v>1667</v>
      </c>
      <c r="B126" t="s">
        <v>2167</v>
      </c>
      <c r="C126" t="s">
        <v>1537</v>
      </c>
      <c r="D126">
        <v>4798.57</v>
      </c>
      <c r="E126" s="2">
        <v>45051</v>
      </c>
    </row>
    <row r="127" spans="1:5">
      <c r="A127" t="s">
        <v>1668</v>
      </c>
      <c r="B127" t="s">
        <v>2168</v>
      </c>
      <c r="C127" t="s">
        <v>1537</v>
      </c>
      <c r="D127">
        <v>4895.88</v>
      </c>
      <c r="E127" s="2">
        <v>45052</v>
      </c>
    </row>
    <row r="128" spans="1:5">
      <c r="A128" t="s">
        <v>1669</v>
      </c>
      <c r="B128" t="s">
        <v>2169</v>
      </c>
      <c r="C128" t="s">
        <v>1536</v>
      </c>
      <c r="D128">
        <v>1991.63</v>
      </c>
      <c r="E128" s="2">
        <v>45053</v>
      </c>
    </row>
    <row r="129" spans="1:5">
      <c r="A129" t="s">
        <v>1670</v>
      </c>
      <c r="B129" t="s">
        <v>2170</v>
      </c>
      <c r="C129" t="s">
        <v>1535</v>
      </c>
      <c r="D129">
        <v>2666.54</v>
      </c>
      <c r="E129" s="2">
        <v>45054</v>
      </c>
    </row>
    <row r="130" spans="1:5">
      <c r="A130" t="s">
        <v>1671</v>
      </c>
      <c r="B130" t="s">
        <v>2171</v>
      </c>
      <c r="C130" t="s">
        <v>1538</v>
      </c>
      <c r="D130">
        <v>3421.25</v>
      </c>
      <c r="E130" s="2">
        <v>45055</v>
      </c>
    </row>
    <row r="131" spans="1:5">
      <c r="A131" t="s">
        <v>1672</v>
      </c>
      <c r="B131" t="s">
        <v>2172</v>
      </c>
      <c r="C131" t="s">
        <v>1536</v>
      </c>
      <c r="D131">
        <v>3028.34</v>
      </c>
      <c r="E131" s="2">
        <v>45056</v>
      </c>
    </row>
    <row r="132" spans="1:5">
      <c r="A132" t="s">
        <v>1673</v>
      </c>
      <c r="B132" t="s">
        <v>2173</v>
      </c>
      <c r="C132" t="s">
        <v>1536</v>
      </c>
      <c r="D132">
        <v>3124.1</v>
      </c>
      <c r="E132" s="2">
        <v>45057</v>
      </c>
    </row>
    <row r="133" spans="1:5">
      <c r="A133" t="s">
        <v>1674</v>
      </c>
      <c r="B133" t="s">
        <v>2174</v>
      </c>
      <c r="C133" t="s">
        <v>1537</v>
      </c>
      <c r="D133">
        <v>634.66</v>
      </c>
      <c r="E133" s="2">
        <v>45058</v>
      </c>
    </row>
    <row r="134" spans="1:5">
      <c r="A134" t="s">
        <v>1675</v>
      </c>
      <c r="B134" t="s">
        <v>2175</v>
      </c>
      <c r="C134" t="s">
        <v>1538</v>
      </c>
      <c r="D134">
        <v>2266.31</v>
      </c>
      <c r="E134" s="2">
        <v>45059</v>
      </c>
    </row>
    <row r="135" spans="1:5">
      <c r="A135" t="s">
        <v>1676</v>
      </c>
      <c r="B135" t="s">
        <v>2176</v>
      </c>
      <c r="C135" t="s">
        <v>1538</v>
      </c>
      <c r="D135">
        <v>4252.54</v>
      </c>
      <c r="E135" s="2">
        <v>45060</v>
      </c>
    </row>
    <row r="136" spans="1:5">
      <c r="A136" t="s">
        <v>1677</v>
      </c>
      <c r="B136" t="s">
        <v>2177</v>
      </c>
      <c r="C136" t="s">
        <v>1537</v>
      </c>
      <c r="D136">
        <v>2415.8200000000002</v>
      </c>
      <c r="E136" s="2">
        <v>45061</v>
      </c>
    </row>
    <row r="137" spans="1:5">
      <c r="A137" t="s">
        <v>1678</v>
      </c>
      <c r="B137" t="s">
        <v>2178</v>
      </c>
      <c r="C137" t="s">
        <v>1536</v>
      </c>
      <c r="D137">
        <v>537.49</v>
      </c>
      <c r="E137" s="2">
        <v>45062</v>
      </c>
    </row>
    <row r="138" spans="1:5">
      <c r="A138" t="s">
        <v>1679</v>
      </c>
      <c r="B138" t="s">
        <v>2179</v>
      </c>
      <c r="C138" t="s">
        <v>1538</v>
      </c>
      <c r="D138">
        <v>1725.1</v>
      </c>
      <c r="E138" s="2">
        <v>45063</v>
      </c>
    </row>
    <row r="139" spans="1:5">
      <c r="A139" t="s">
        <v>1680</v>
      </c>
      <c r="B139" t="s">
        <v>2180</v>
      </c>
      <c r="C139" t="s">
        <v>1537</v>
      </c>
      <c r="D139">
        <v>4791.84</v>
      </c>
      <c r="E139" s="2">
        <v>45064</v>
      </c>
    </row>
    <row r="140" spans="1:5">
      <c r="A140" t="s">
        <v>1681</v>
      </c>
      <c r="B140" t="s">
        <v>2181</v>
      </c>
      <c r="C140" t="s">
        <v>1537</v>
      </c>
      <c r="D140">
        <v>1875.87</v>
      </c>
      <c r="E140" s="2">
        <v>45065</v>
      </c>
    </row>
    <row r="141" spans="1:5">
      <c r="A141" t="s">
        <v>1682</v>
      </c>
      <c r="B141" t="s">
        <v>2182</v>
      </c>
      <c r="C141" t="s">
        <v>1535</v>
      </c>
      <c r="D141">
        <v>2597.31</v>
      </c>
      <c r="E141" s="2">
        <v>45066</v>
      </c>
    </row>
    <row r="142" spans="1:5">
      <c r="A142" t="s">
        <v>1683</v>
      </c>
      <c r="B142" t="s">
        <v>2183</v>
      </c>
      <c r="C142" t="s">
        <v>1536</v>
      </c>
      <c r="D142">
        <v>3069.91</v>
      </c>
      <c r="E142" s="2">
        <v>45067</v>
      </c>
    </row>
    <row r="143" spans="1:5">
      <c r="A143" t="s">
        <v>1684</v>
      </c>
      <c r="B143" t="s">
        <v>2184</v>
      </c>
      <c r="C143" t="s">
        <v>1535</v>
      </c>
      <c r="D143">
        <v>4595.33</v>
      </c>
      <c r="E143" s="2">
        <v>45068</v>
      </c>
    </row>
    <row r="144" spans="1:5">
      <c r="A144" t="s">
        <v>1685</v>
      </c>
      <c r="B144" t="s">
        <v>2185</v>
      </c>
      <c r="C144" t="s">
        <v>1537</v>
      </c>
      <c r="D144">
        <v>3732.98</v>
      </c>
      <c r="E144" s="2">
        <v>45069</v>
      </c>
    </row>
    <row r="145" spans="1:5">
      <c r="A145" t="s">
        <v>1686</v>
      </c>
      <c r="B145" t="s">
        <v>2186</v>
      </c>
      <c r="C145" t="s">
        <v>1538</v>
      </c>
      <c r="D145">
        <v>3454.78</v>
      </c>
      <c r="E145" s="2">
        <v>45070</v>
      </c>
    </row>
    <row r="146" spans="1:5">
      <c r="A146" t="s">
        <v>1687</v>
      </c>
      <c r="B146" t="s">
        <v>2187</v>
      </c>
      <c r="C146" t="s">
        <v>1537</v>
      </c>
      <c r="D146">
        <v>3021.98</v>
      </c>
      <c r="E146" s="2">
        <v>45071</v>
      </c>
    </row>
    <row r="147" spans="1:5">
      <c r="A147" t="s">
        <v>1688</v>
      </c>
      <c r="B147" t="s">
        <v>2188</v>
      </c>
      <c r="C147" t="s">
        <v>1537</v>
      </c>
      <c r="D147">
        <v>4565.32</v>
      </c>
      <c r="E147" s="2">
        <v>45072</v>
      </c>
    </row>
    <row r="148" spans="1:5">
      <c r="A148" t="s">
        <v>1689</v>
      </c>
      <c r="B148" t="s">
        <v>2189</v>
      </c>
      <c r="C148" t="s">
        <v>1536</v>
      </c>
      <c r="D148">
        <v>2421.79</v>
      </c>
      <c r="E148" s="2">
        <v>45073</v>
      </c>
    </row>
    <row r="149" spans="1:5">
      <c r="A149" t="s">
        <v>1690</v>
      </c>
      <c r="B149" t="s">
        <v>2190</v>
      </c>
      <c r="C149" t="s">
        <v>1536</v>
      </c>
      <c r="D149">
        <v>1193.3</v>
      </c>
      <c r="E149" s="2">
        <v>45074</v>
      </c>
    </row>
    <row r="150" spans="1:5">
      <c r="A150" t="s">
        <v>1691</v>
      </c>
      <c r="B150" t="s">
        <v>2191</v>
      </c>
      <c r="C150" t="s">
        <v>1538</v>
      </c>
      <c r="D150">
        <v>3871.01</v>
      </c>
      <c r="E150" s="2">
        <v>45075</v>
      </c>
    </row>
    <row r="151" spans="1:5">
      <c r="A151" t="s">
        <v>1692</v>
      </c>
      <c r="B151" t="s">
        <v>2192</v>
      </c>
      <c r="C151" t="s">
        <v>1535</v>
      </c>
      <c r="D151">
        <v>4169.88</v>
      </c>
      <c r="E151" s="2">
        <v>45076</v>
      </c>
    </row>
    <row r="152" spans="1:5">
      <c r="A152" t="s">
        <v>1693</v>
      </c>
      <c r="B152" t="s">
        <v>2193</v>
      </c>
      <c r="C152" t="s">
        <v>1535</v>
      </c>
      <c r="D152">
        <v>4312.6899999999996</v>
      </c>
      <c r="E152" s="2">
        <v>45077</v>
      </c>
    </row>
    <row r="153" spans="1:5">
      <c r="A153" t="s">
        <v>1694</v>
      </c>
      <c r="B153" t="s">
        <v>2194</v>
      </c>
      <c r="C153" t="s">
        <v>1538</v>
      </c>
      <c r="D153">
        <v>3611.58</v>
      </c>
      <c r="E153" s="2">
        <v>45078</v>
      </c>
    </row>
    <row r="154" spans="1:5">
      <c r="A154" t="s">
        <v>1695</v>
      </c>
      <c r="B154" t="s">
        <v>2195</v>
      </c>
      <c r="C154" t="s">
        <v>1537</v>
      </c>
      <c r="D154">
        <v>4357.88</v>
      </c>
      <c r="E154" s="2">
        <v>45079</v>
      </c>
    </row>
    <row r="155" spans="1:5">
      <c r="A155" t="s">
        <v>1696</v>
      </c>
      <c r="B155" t="s">
        <v>2196</v>
      </c>
      <c r="C155" t="s">
        <v>1537</v>
      </c>
      <c r="D155">
        <v>1292.6400000000001</v>
      </c>
      <c r="E155" s="2">
        <v>45080</v>
      </c>
    </row>
    <row r="156" spans="1:5">
      <c r="A156" t="s">
        <v>1697</v>
      </c>
      <c r="B156" t="s">
        <v>2197</v>
      </c>
      <c r="C156" t="s">
        <v>1537</v>
      </c>
      <c r="D156">
        <v>4443.84</v>
      </c>
      <c r="E156" s="2">
        <v>45081</v>
      </c>
    </row>
    <row r="157" spans="1:5">
      <c r="A157" t="s">
        <v>1698</v>
      </c>
      <c r="B157" t="s">
        <v>2198</v>
      </c>
      <c r="C157" t="s">
        <v>1536</v>
      </c>
      <c r="D157">
        <v>2334.7399999999998</v>
      </c>
      <c r="E157" s="2">
        <v>45082</v>
      </c>
    </row>
    <row r="158" spans="1:5">
      <c r="A158" t="s">
        <v>1699</v>
      </c>
      <c r="B158" t="s">
        <v>2199</v>
      </c>
      <c r="C158" t="s">
        <v>1536</v>
      </c>
      <c r="D158">
        <v>190.42</v>
      </c>
      <c r="E158" s="2">
        <v>45083</v>
      </c>
    </row>
    <row r="159" spans="1:5">
      <c r="A159" t="s">
        <v>1700</v>
      </c>
      <c r="B159" t="s">
        <v>2200</v>
      </c>
      <c r="C159" t="s">
        <v>1535</v>
      </c>
      <c r="D159">
        <v>637.54</v>
      </c>
      <c r="E159" s="2">
        <v>45084</v>
      </c>
    </row>
    <row r="160" spans="1:5">
      <c r="A160" t="s">
        <v>1701</v>
      </c>
      <c r="B160" t="s">
        <v>2201</v>
      </c>
      <c r="C160" t="s">
        <v>1537</v>
      </c>
      <c r="D160">
        <v>1676.46</v>
      </c>
      <c r="E160" s="2">
        <v>45085</v>
      </c>
    </row>
    <row r="161" spans="1:5">
      <c r="A161" t="s">
        <v>1702</v>
      </c>
      <c r="B161" t="s">
        <v>2202</v>
      </c>
      <c r="C161" t="s">
        <v>1538</v>
      </c>
      <c r="D161">
        <v>4998.26</v>
      </c>
      <c r="E161" s="2">
        <v>45086</v>
      </c>
    </row>
    <row r="162" spans="1:5">
      <c r="A162" t="s">
        <v>1703</v>
      </c>
      <c r="B162" t="s">
        <v>2203</v>
      </c>
      <c r="C162" t="s">
        <v>1535</v>
      </c>
      <c r="D162">
        <v>1801.04</v>
      </c>
      <c r="E162" s="2">
        <v>45087</v>
      </c>
    </row>
    <row r="163" spans="1:5">
      <c r="A163" t="s">
        <v>1704</v>
      </c>
      <c r="B163" t="s">
        <v>2204</v>
      </c>
      <c r="C163" t="s">
        <v>1536</v>
      </c>
      <c r="D163">
        <v>1198.17</v>
      </c>
      <c r="E163" s="2">
        <v>45088</v>
      </c>
    </row>
    <row r="164" spans="1:5">
      <c r="A164" t="s">
        <v>1705</v>
      </c>
      <c r="B164" t="s">
        <v>2205</v>
      </c>
      <c r="C164" t="s">
        <v>1536</v>
      </c>
      <c r="D164">
        <v>1253.82</v>
      </c>
      <c r="E164" s="2">
        <v>45089</v>
      </c>
    </row>
    <row r="165" spans="1:5">
      <c r="A165" t="s">
        <v>1706</v>
      </c>
      <c r="B165" t="s">
        <v>2206</v>
      </c>
      <c r="C165" t="s">
        <v>1538</v>
      </c>
      <c r="D165">
        <v>3391.27</v>
      </c>
      <c r="E165" s="2">
        <v>45090</v>
      </c>
    </row>
    <row r="166" spans="1:5">
      <c r="A166" t="s">
        <v>1707</v>
      </c>
      <c r="B166" t="s">
        <v>2207</v>
      </c>
      <c r="C166" t="s">
        <v>1535</v>
      </c>
      <c r="D166">
        <v>3463.12</v>
      </c>
      <c r="E166" s="2">
        <v>45091</v>
      </c>
    </row>
    <row r="167" spans="1:5">
      <c r="A167" t="s">
        <v>1708</v>
      </c>
      <c r="B167" t="s">
        <v>2208</v>
      </c>
      <c r="C167" t="s">
        <v>1538</v>
      </c>
      <c r="D167">
        <v>1171.77</v>
      </c>
      <c r="E167" s="2">
        <v>45092</v>
      </c>
    </row>
    <row r="168" spans="1:5">
      <c r="A168" t="s">
        <v>1709</v>
      </c>
      <c r="B168" t="s">
        <v>2209</v>
      </c>
      <c r="C168" t="s">
        <v>1538</v>
      </c>
      <c r="D168">
        <v>787.57</v>
      </c>
      <c r="E168" s="2">
        <v>45093</v>
      </c>
    </row>
    <row r="169" spans="1:5">
      <c r="A169" t="s">
        <v>1710</v>
      </c>
      <c r="B169" t="s">
        <v>2210</v>
      </c>
      <c r="C169" t="s">
        <v>1538</v>
      </c>
      <c r="D169">
        <v>312.14999999999998</v>
      </c>
      <c r="E169" s="2">
        <v>45094</v>
      </c>
    </row>
    <row r="170" spans="1:5">
      <c r="A170" t="s">
        <v>1711</v>
      </c>
      <c r="B170" t="s">
        <v>2211</v>
      </c>
      <c r="C170" t="s">
        <v>1538</v>
      </c>
      <c r="D170">
        <v>3316.54</v>
      </c>
      <c r="E170" s="2">
        <v>45095</v>
      </c>
    </row>
    <row r="171" spans="1:5">
      <c r="A171" t="s">
        <v>1712</v>
      </c>
      <c r="B171" t="s">
        <v>2212</v>
      </c>
      <c r="C171" t="s">
        <v>1536</v>
      </c>
      <c r="D171">
        <v>4829.28</v>
      </c>
      <c r="E171" s="2">
        <v>45096</v>
      </c>
    </row>
    <row r="172" spans="1:5">
      <c r="A172" t="s">
        <v>1713</v>
      </c>
      <c r="B172" t="s">
        <v>2213</v>
      </c>
      <c r="C172" t="s">
        <v>1538</v>
      </c>
      <c r="D172">
        <v>2859.79</v>
      </c>
      <c r="E172" s="2">
        <v>45097</v>
      </c>
    </row>
    <row r="173" spans="1:5">
      <c r="A173" t="s">
        <v>1714</v>
      </c>
      <c r="B173" t="s">
        <v>2214</v>
      </c>
      <c r="C173" t="s">
        <v>1536</v>
      </c>
      <c r="D173">
        <v>3484.91</v>
      </c>
      <c r="E173" s="2">
        <v>45098</v>
      </c>
    </row>
    <row r="174" spans="1:5">
      <c r="A174" t="s">
        <v>1715</v>
      </c>
      <c r="B174" t="s">
        <v>2215</v>
      </c>
      <c r="C174" t="s">
        <v>1535</v>
      </c>
      <c r="D174">
        <v>4984.38</v>
      </c>
      <c r="E174" s="2">
        <v>45099</v>
      </c>
    </row>
    <row r="175" spans="1:5">
      <c r="A175" t="s">
        <v>1716</v>
      </c>
      <c r="B175" t="s">
        <v>2216</v>
      </c>
      <c r="C175" t="s">
        <v>1538</v>
      </c>
      <c r="D175">
        <v>2231.58</v>
      </c>
      <c r="E175" s="2">
        <v>45100</v>
      </c>
    </row>
    <row r="176" spans="1:5">
      <c r="A176" t="s">
        <v>1717</v>
      </c>
      <c r="B176" t="s">
        <v>2217</v>
      </c>
      <c r="C176" t="s">
        <v>1538</v>
      </c>
      <c r="D176">
        <v>2579.4499999999998</v>
      </c>
      <c r="E176" s="2">
        <v>45101</v>
      </c>
    </row>
    <row r="177" spans="1:5">
      <c r="A177" t="s">
        <v>1718</v>
      </c>
      <c r="B177" t="s">
        <v>2218</v>
      </c>
      <c r="C177" t="s">
        <v>1537</v>
      </c>
      <c r="D177">
        <v>2873.2</v>
      </c>
      <c r="E177" s="2">
        <v>45102</v>
      </c>
    </row>
    <row r="178" spans="1:5">
      <c r="A178" t="s">
        <v>1719</v>
      </c>
      <c r="B178" t="s">
        <v>2219</v>
      </c>
      <c r="C178" t="s">
        <v>1537</v>
      </c>
      <c r="D178">
        <v>2394.09</v>
      </c>
      <c r="E178" s="2">
        <v>45103</v>
      </c>
    </row>
    <row r="179" spans="1:5">
      <c r="A179" t="s">
        <v>1720</v>
      </c>
      <c r="B179" t="s">
        <v>2220</v>
      </c>
      <c r="C179" t="s">
        <v>1538</v>
      </c>
      <c r="D179">
        <v>2944.02</v>
      </c>
      <c r="E179" s="2">
        <v>45104</v>
      </c>
    </row>
    <row r="180" spans="1:5">
      <c r="A180" t="s">
        <v>1721</v>
      </c>
      <c r="B180" t="s">
        <v>2221</v>
      </c>
      <c r="C180" t="s">
        <v>1537</v>
      </c>
      <c r="D180">
        <v>3660.45</v>
      </c>
      <c r="E180" s="2">
        <v>45105</v>
      </c>
    </row>
    <row r="181" spans="1:5">
      <c r="A181" t="s">
        <v>1722</v>
      </c>
      <c r="B181" t="s">
        <v>2222</v>
      </c>
      <c r="C181" t="s">
        <v>1538</v>
      </c>
      <c r="D181">
        <v>1413.39</v>
      </c>
      <c r="E181" s="2">
        <v>45106</v>
      </c>
    </row>
    <row r="182" spans="1:5">
      <c r="A182" t="s">
        <v>1723</v>
      </c>
      <c r="B182" t="s">
        <v>2223</v>
      </c>
      <c r="C182" t="s">
        <v>1535</v>
      </c>
      <c r="D182">
        <v>799.35</v>
      </c>
      <c r="E182" s="2">
        <v>45107</v>
      </c>
    </row>
    <row r="183" spans="1:5">
      <c r="A183" t="s">
        <v>1724</v>
      </c>
      <c r="B183" t="s">
        <v>2224</v>
      </c>
      <c r="C183" t="s">
        <v>1535</v>
      </c>
      <c r="D183">
        <v>3178.87</v>
      </c>
      <c r="E183" s="2">
        <v>45108</v>
      </c>
    </row>
    <row r="184" spans="1:5">
      <c r="A184" t="s">
        <v>1725</v>
      </c>
      <c r="B184" t="s">
        <v>2225</v>
      </c>
      <c r="C184" t="s">
        <v>1537</v>
      </c>
      <c r="D184">
        <v>2002.35</v>
      </c>
      <c r="E184" s="2">
        <v>45109</v>
      </c>
    </row>
    <row r="185" spans="1:5">
      <c r="A185" t="s">
        <v>1726</v>
      </c>
      <c r="B185" t="s">
        <v>2226</v>
      </c>
      <c r="C185" t="s">
        <v>1535</v>
      </c>
      <c r="D185">
        <v>1727.06</v>
      </c>
      <c r="E185" s="2">
        <v>45110</v>
      </c>
    </row>
    <row r="186" spans="1:5">
      <c r="A186" t="s">
        <v>1727</v>
      </c>
      <c r="B186" t="s">
        <v>2227</v>
      </c>
      <c r="C186" t="s">
        <v>1538</v>
      </c>
      <c r="D186">
        <v>4988.82</v>
      </c>
      <c r="E186" s="2">
        <v>45111</v>
      </c>
    </row>
    <row r="187" spans="1:5">
      <c r="A187" t="s">
        <v>1728</v>
      </c>
      <c r="B187" t="s">
        <v>2228</v>
      </c>
      <c r="C187" t="s">
        <v>1537</v>
      </c>
      <c r="D187">
        <v>3371.72</v>
      </c>
      <c r="E187" s="2">
        <v>45112</v>
      </c>
    </row>
    <row r="188" spans="1:5">
      <c r="A188" t="s">
        <v>1729</v>
      </c>
      <c r="B188" t="s">
        <v>2229</v>
      </c>
      <c r="C188" t="s">
        <v>1538</v>
      </c>
      <c r="D188">
        <v>886.8</v>
      </c>
      <c r="E188" s="2">
        <v>45113</v>
      </c>
    </row>
    <row r="189" spans="1:5">
      <c r="A189" t="s">
        <v>1730</v>
      </c>
      <c r="B189" t="s">
        <v>2230</v>
      </c>
      <c r="C189" t="s">
        <v>1536</v>
      </c>
      <c r="D189">
        <v>3545.43</v>
      </c>
      <c r="E189" s="2">
        <v>45114</v>
      </c>
    </row>
    <row r="190" spans="1:5">
      <c r="A190" t="s">
        <v>1731</v>
      </c>
      <c r="B190" t="s">
        <v>2231</v>
      </c>
      <c r="C190" t="s">
        <v>1538</v>
      </c>
      <c r="D190">
        <v>493.89</v>
      </c>
      <c r="E190" s="2">
        <v>45115</v>
      </c>
    </row>
    <row r="191" spans="1:5">
      <c r="A191" t="s">
        <v>1732</v>
      </c>
      <c r="B191" t="s">
        <v>2232</v>
      </c>
      <c r="C191" t="s">
        <v>1535</v>
      </c>
      <c r="D191">
        <v>1286.6500000000001</v>
      </c>
      <c r="E191" s="2">
        <v>45116</v>
      </c>
    </row>
    <row r="192" spans="1:5">
      <c r="A192" t="s">
        <v>1733</v>
      </c>
      <c r="B192" t="s">
        <v>2233</v>
      </c>
      <c r="C192" t="s">
        <v>1535</v>
      </c>
      <c r="D192">
        <v>4479.42</v>
      </c>
      <c r="E192" s="2">
        <v>45117</v>
      </c>
    </row>
    <row r="193" spans="1:5">
      <c r="A193" t="s">
        <v>1734</v>
      </c>
      <c r="B193" t="s">
        <v>2234</v>
      </c>
      <c r="C193" t="s">
        <v>1536</v>
      </c>
      <c r="D193">
        <v>819.82</v>
      </c>
      <c r="E193" s="2">
        <v>45118</v>
      </c>
    </row>
    <row r="194" spans="1:5">
      <c r="A194" t="s">
        <v>1735</v>
      </c>
      <c r="B194" t="s">
        <v>2235</v>
      </c>
      <c r="C194" t="s">
        <v>1537</v>
      </c>
      <c r="D194">
        <v>995.2</v>
      </c>
      <c r="E194" s="2">
        <v>45119</v>
      </c>
    </row>
    <row r="195" spans="1:5">
      <c r="A195" t="s">
        <v>1736</v>
      </c>
      <c r="B195" t="s">
        <v>2236</v>
      </c>
      <c r="C195" t="s">
        <v>1536</v>
      </c>
      <c r="D195">
        <v>4699.3100000000004</v>
      </c>
      <c r="E195" s="2">
        <v>45120</v>
      </c>
    </row>
    <row r="196" spans="1:5">
      <c r="A196" t="s">
        <v>1737</v>
      </c>
      <c r="B196" t="s">
        <v>2237</v>
      </c>
      <c r="C196" t="s">
        <v>1538</v>
      </c>
      <c r="D196">
        <v>2400.2199999999998</v>
      </c>
      <c r="E196" s="2">
        <v>45121</v>
      </c>
    </row>
    <row r="197" spans="1:5">
      <c r="A197" t="s">
        <v>1738</v>
      </c>
      <c r="B197" t="s">
        <v>2238</v>
      </c>
      <c r="C197" t="s">
        <v>1538</v>
      </c>
      <c r="D197">
        <v>679.02</v>
      </c>
      <c r="E197" s="2">
        <v>45122</v>
      </c>
    </row>
    <row r="198" spans="1:5">
      <c r="A198" t="s">
        <v>1739</v>
      </c>
      <c r="B198" t="s">
        <v>2239</v>
      </c>
      <c r="C198" t="s">
        <v>1536</v>
      </c>
      <c r="D198">
        <v>4135.0200000000004</v>
      </c>
      <c r="E198" s="2">
        <v>45123</v>
      </c>
    </row>
    <row r="199" spans="1:5">
      <c r="A199" t="s">
        <v>1740</v>
      </c>
      <c r="B199" t="s">
        <v>2240</v>
      </c>
      <c r="C199" t="s">
        <v>1537</v>
      </c>
      <c r="D199">
        <v>1608.52</v>
      </c>
      <c r="E199" s="2">
        <v>45124</v>
      </c>
    </row>
    <row r="200" spans="1:5">
      <c r="A200" t="s">
        <v>1741</v>
      </c>
      <c r="B200" t="s">
        <v>2241</v>
      </c>
      <c r="C200" t="s">
        <v>1538</v>
      </c>
      <c r="D200">
        <v>2156.48</v>
      </c>
      <c r="E200" s="2">
        <v>45125</v>
      </c>
    </row>
    <row r="201" spans="1:5">
      <c r="A201" t="s">
        <v>1742</v>
      </c>
      <c r="B201" t="s">
        <v>2242</v>
      </c>
      <c r="C201" t="s">
        <v>1535</v>
      </c>
      <c r="D201">
        <v>1329.31</v>
      </c>
      <c r="E201" s="2">
        <v>45126</v>
      </c>
    </row>
    <row r="202" spans="1:5">
      <c r="A202" t="s">
        <v>1743</v>
      </c>
      <c r="B202" t="s">
        <v>2243</v>
      </c>
      <c r="C202" t="s">
        <v>1538</v>
      </c>
      <c r="D202">
        <v>138.96</v>
      </c>
      <c r="E202" s="2">
        <v>45127</v>
      </c>
    </row>
    <row r="203" spans="1:5">
      <c r="A203" t="s">
        <v>1744</v>
      </c>
      <c r="B203" t="s">
        <v>2244</v>
      </c>
      <c r="C203" t="s">
        <v>1537</v>
      </c>
      <c r="D203">
        <v>1852.68</v>
      </c>
      <c r="E203" s="2">
        <v>45128</v>
      </c>
    </row>
    <row r="204" spans="1:5">
      <c r="A204" t="s">
        <v>1745</v>
      </c>
      <c r="B204" t="s">
        <v>2245</v>
      </c>
      <c r="C204" t="s">
        <v>1536</v>
      </c>
      <c r="D204">
        <v>1674.39</v>
      </c>
      <c r="E204" s="2">
        <v>45129</v>
      </c>
    </row>
    <row r="205" spans="1:5">
      <c r="A205" t="s">
        <v>1746</v>
      </c>
      <c r="B205" t="s">
        <v>2246</v>
      </c>
      <c r="C205" t="s">
        <v>1535</v>
      </c>
      <c r="D205">
        <v>2405.69</v>
      </c>
      <c r="E205" s="2">
        <v>45130</v>
      </c>
    </row>
    <row r="206" spans="1:5">
      <c r="A206" t="s">
        <v>1747</v>
      </c>
      <c r="B206" t="s">
        <v>2247</v>
      </c>
      <c r="C206" t="s">
        <v>1535</v>
      </c>
      <c r="D206">
        <v>1073.92</v>
      </c>
      <c r="E206" s="2">
        <v>45131</v>
      </c>
    </row>
    <row r="207" spans="1:5">
      <c r="A207" t="s">
        <v>1748</v>
      </c>
      <c r="B207" t="s">
        <v>2248</v>
      </c>
      <c r="C207" t="s">
        <v>1536</v>
      </c>
      <c r="D207">
        <v>4270.91</v>
      </c>
      <c r="E207" s="2">
        <v>45132</v>
      </c>
    </row>
    <row r="208" spans="1:5">
      <c r="A208" t="s">
        <v>1749</v>
      </c>
      <c r="B208" t="s">
        <v>2249</v>
      </c>
      <c r="C208" t="s">
        <v>1535</v>
      </c>
      <c r="D208">
        <v>4984.01</v>
      </c>
      <c r="E208" s="2">
        <v>45133</v>
      </c>
    </row>
    <row r="209" spans="1:5">
      <c r="A209" t="s">
        <v>1750</v>
      </c>
      <c r="B209" t="s">
        <v>2250</v>
      </c>
      <c r="C209" t="s">
        <v>1537</v>
      </c>
      <c r="D209">
        <v>416.06</v>
      </c>
      <c r="E209" s="2">
        <v>45134</v>
      </c>
    </row>
    <row r="210" spans="1:5">
      <c r="A210" t="s">
        <v>1751</v>
      </c>
      <c r="B210" t="s">
        <v>2251</v>
      </c>
      <c r="C210" t="s">
        <v>1535</v>
      </c>
      <c r="D210">
        <v>1149.05</v>
      </c>
      <c r="E210" s="2">
        <v>45135</v>
      </c>
    </row>
    <row r="211" spans="1:5">
      <c r="A211" t="s">
        <v>1752</v>
      </c>
      <c r="B211" t="s">
        <v>2252</v>
      </c>
      <c r="C211" t="s">
        <v>1538</v>
      </c>
      <c r="D211">
        <v>3000.18</v>
      </c>
      <c r="E211" s="2">
        <v>45136</v>
      </c>
    </row>
    <row r="212" spans="1:5">
      <c r="A212" t="s">
        <v>1753</v>
      </c>
      <c r="B212" t="s">
        <v>2253</v>
      </c>
      <c r="C212" t="s">
        <v>1538</v>
      </c>
      <c r="D212">
        <v>396.27</v>
      </c>
      <c r="E212" s="2">
        <v>45137</v>
      </c>
    </row>
    <row r="213" spans="1:5">
      <c r="A213" t="s">
        <v>1754</v>
      </c>
      <c r="B213" t="s">
        <v>2254</v>
      </c>
      <c r="C213" t="s">
        <v>1536</v>
      </c>
      <c r="D213">
        <v>2483.92</v>
      </c>
      <c r="E213" s="2">
        <v>45138</v>
      </c>
    </row>
    <row r="214" spans="1:5">
      <c r="A214" t="s">
        <v>1755</v>
      </c>
      <c r="B214" t="s">
        <v>2255</v>
      </c>
      <c r="C214" t="s">
        <v>1538</v>
      </c>
      <c r="D214">
        <v>192.86</v>
      </c>
      <c r="E214" s="2">
        <v>45139</v>
      </c>
    </row>
    <row r="215" spans="1:5">
      <c r="A215" t="s">
        <v>1756</v>
      </c>
      <c r="B215" t="s">
        <v>2256</v>
      </c>
      <c r="C215" t="s">
        <v>1535</v>
      </c>
      <c r="D215">
        <v>1334.69</v>
      </c>
      <c r="E215" s="2">
        <v>45140</v>
      </c>
    </row>
    <row r="216" spans="1:5">
      <c r="A216" t="s">
        <v>1757</v>
      </c>
      <c r="B216" t="s">
        <v>2257</v>
      </c>
      <c r="C216" t="s">
        <v>1535</v>
      </c>
      <c r="D216">
        <v>3739.39</v>
      </c>
      <c r="E216" s="2">
        <v>45141</v>
      </c>
    </row>
    <row r="217" spans="1:5">
      <c r="A217" t="s">
        <v>1758</v>
      </c>
      <c r="B217" t="s">
        <v>2258</v>
      </c>
      <c r="C217" t="s">
        <v>1538</v>
      </c>
      <c r="D217">
        <v>3695.42</v>
      </c>
      <c r="E217" s="2">
        <v>45142</v>
      </c>
    </row>
    <row r="218" spans="1:5">
      <c r="A218" t="s">
        <v>1759</v>
      </c>
      <c r="B218" t="s">
        <v>2259</v>
      </c>
      <c r="C218" t="s">
        <v>1538</v>
      </c>
      <c r="D218">
        <v>4279.22</v>
      </c>
      <c r="E218" s="2">
        <v>45143</v>
      </c>
    </row>
    <row r="219" spans="1:5">
      <c r="A219" t="s">
        <v>1760</v>
      </c>
      <c r="B219" t="s">
        <v>2260</v>
      </c>
      <c r="C219" t="s">
        <v>1537</v>
      </c>
      <c r="D219">
        <v>1096.46</v>
      </c>
      <c r="E219" s="2">
        <v>45144</v>
      </c>
    </row>
    <row r="220" spans="1:5">
      <c r="A220" t="s">
        <v>1761</v>
      </c>
      <c r="B220" t="s">
        <v>2261</v>
      </c>
      <c r="C220" t="s">
        <v>1535</v>
      </c>
      <c r="D220">
        <v>4657.99</v>
      </c>
      <c r="E220" s="2">
        <v>45145</v>
      </c>
    </row>
    <row r="221" spans="1:5">
      <c r="A221" t="s">
        <v>1762</v>
      </c>
      <c r="B221" t="s">
        <v>2262</v>
      </c>
      <c r="C221" t="s">
        <v>1538</v>
      </c>
      <c r="D221">
        <v>3867.33</v>
      </c>
      <c r="E221" s="2">
        <v>45146</v>
      </c>
    </row>
    <row r="222" spans="1:5">
      <c r="A222" t="s">
        <v>1763</v>
      </c>
      <c r="B222" t="s">
        <v>2263</v>
      </c>
      <c r="C222" t="s">
        <v>1535</v>
      </c>
      <c r="D222">
        <v>2899.64</v>
      </c>
      <c r="E222" s="2">
        <v>45147</v>
      </c>
    </row>
    <row r="223" spans="1:5">
      <c r="A223" t="s">
        <v>1764</v>
      </c>
      <c r="B223" t="s">
        <v>2264</v>
      </c>
      <c r="C223" t="s">
        <v>1537</v>
      </c>
      <c r="D223">
        <v>1047.5</v>
      </c>
      <c r="E223" s="2">
        <v>45148</v>
      </c>
    </row>
    <row r="224" spans="1:5">
      <c r="A224" t="s">
        <v>1765</v>
      </c>
      <c r="B224" t="s">
        <v>2265</v>
      </c>
      <c r="C224" t="s">
        <v>1538</v>
      </c>
      <c r="D224">
        <v>452.69</v>
      </c>
      <c r="E224" s="2">
        <v>45149</v>
      </c>
    </row>
    <row r="225" spans="1:5">
      <c r="A225" t="s">
        <v>1766</v>
      </c>
      <c r="B225" t="s">
        <v>2266</v>
      </c>
      <c r="C225" t="s">
        <v>1535</v>
      </c>
      <c r="D225">
        <v>2260.2399999999998</v>
      </c>
      <c r="E225" s="2">
        <v>45150</v>
      </c>
    </row>
    <row r="226" spans="1:5">
      <c r="A226" t="s">
        <v>1767</v>
      </c>
      <c r="B226" t="s">
        <v>2267</v>
      </c>
      <c r="C226" t="s">
        <v>1536</v>
      </c>
      <c r="D226">
        <v>2919.62</v>
      </c>
      <c r="E226" s="2">
        <v>45151</v>
      </c>
    </row>
    <row r="227" spans="1:5">
      <c r="A227" t="s">
        <v>1768</v>
      </c>
      <c r="B227" t="s">
        <v>2268</v>
      </c>
      <c r="C227" t="s">
        <v>1535</v>
      </c>
      <c r="D227">
        <v>4999.1400000000003</v>
      </c>
      <c r="E227" s="2">
        <v>45152</v>
      </c>
    </row>
    <row r="228" spans="1:5">
      <c r="A228" t="s">
        <v>1769</v>
      </c>
      <c r="B228" t="s">
        <v>2269</v>
      </c>
      <c r="C228" t="s">
        <v>1535</v>
      </c>
      <c r="D228">
        <v>699.04</v>
      </c>
      <c r="E228" s="2">
        <v>45153</v>
      </c>
    </row>
    <row r="229" spans="1:5">
      <c r="A229" t="s">
        <v>1770</v>
      </c>
      <c r="B229" t="s">
        <v>2270</v>
      </c>
      <c r="C229" t="s">
        <v>1537</v>
      </c>
      <c r="D229">
        <v>2700.76</v>
      </c>
      <c r="E229" s="2">
        <v>45154</v>
      </c>
    </row>
    <row r="230" spans="1:5">
      <c r="A230" t="s">
        <v>1771</v>
      </c>
      <c r="B230" t="s">
        <v>2271</v>
      </c>
      <c r="C230" t="s">
        <v>1535</v>
      </c>
      <c r="D230">
        <v>1892.62</v>
      </c>
      <c r="E230" s="2">
        <v>45155</v>
      </c>
    </row>
    <row r="231" spans="1:5">
      <c r="A231" t="s">
        <v>1772</v>
      </c>
      <c r="B231" t="s">
        <v>2272</v>
      </c>
      <c r="C231" t="s">
        <v>1537</v>
      </c>
      <c r="D231">
        <v>1668.2</v>
      </c>
      <c r="E231" s="2">
        <v>45156</v>
      </c>
    </row>
    <row r="232" spans="1:5">
      <c r="A232" t="s">
        <v>1773</v>
      </c>
      <c r="B232" t="s">
        <v>2273</v>
      </c>
      <c r="C232" t="s">
        <v>1538</v>
      </c>
      <c r="D232">
        <v>3695.59</v>
      </c>
      <c r="E232" s="2">
        <v>45157</v>
      </c>
    </row>
    <row r="233" spans="1:5">
      <c r="A233" t="s">
        <v>1774</v>
      </c>
      <c r="B233" t="s">
        <v>2274</v>
      </c>
      <c r="C233" t="s">
        <v>1538</v>
      </c>
      <c r="D233">
        <v>1363.82</v>
      </c>
      <c r="E233" s="2">
        <v>45158</v>
      </c>
    </row>
    <row r="234" spans="1:5">
      <c r="A234" t="s">
        <v>1775</v>
      </c>
      <c r="B234" t="s">
        <v>2275</v>
      </c>
      <c r="C234" t="s">
        <v>1536</v>
      </c>
      <c r="D234">
        <v>3056.96</v>
      </c>
      <c r="E234" s="2">
        <v>45159</v>
      </c>
    </row>
    <row r="235" spans="1:5">
      <c r="A235" t="s">
        <v>1776</v>
      </c>
      <c r="B235" t="s">
        <v>2276</v>
      </c>
      <c r="C235" t="s">
        <v>1537</v>
      </c>
      <c r="D235">
        <v>2804.83</v>
      </c>
      <c r="E235" s="2">
        <v>45160</v>
      </c>
    </row>
    <row r="236" spans="1:5">
      <c r="A236" t="s">
        <v>1777</v>
      </c>
      <c r="B236" t="s">
        <v>2277</v>
      </c>
      <c r="C236" t="s">
        <v>1535</v>
      </c>
      <c r="D236">
        <v>391.48</v>
      </c>
      <c r="E236" s="2">
        <v>45161</v>
      </c>
    </row>
    <row r="237" spans="1:5">
      <c r="A237" t="s">
        <v>1778</v>
      </c>
      <c r="B237" t="s">
        <v>2278</v>
      </c>
      <c r="C237" t="s">
        <v>1536</v>
      </c>
      <c r="D237">
        <v>4327.49</v>
      </c>
      <c r="E237" s="2">
        <v>45162</v>
      </c>
    </row>
    <row r="238" spans="1:5">
      <c r="A238" t="s">
        <v>1779</v>
      </c>
      <c r="B238" t="s">
        <v>2279</v>
      </c>
      <c r="C238" t="s">
        <v>1538</v>
      </c>
      <c r="D238">
        <v>2418.9899999999998</v>
      </c>
      <c r="E238" s="2">
        <v>45163</v>
      </c>
    </row>
    <row r="239" spans="1:5">
      <c r="A239" t="s">
        <v>1780</v>
      </c>
      <c r="B239" t="s">
        <v>2280</v>
      </c>
      <c r="C239" t="s">
        <v>1536</v>
      </c>
      <c r="D239">
        <v>1583.73</v>
      </c>
      <c r="E239" s="2">
        <v>45164</v>
      </c>
    </row>
    <row r="240" spans="1:5">
      <c r="A240" t="s">
        <v>1781</v>
      </c>
      <c r="B240" t="s">
        <v>2281</v>
      </c>
      <c r="C240" t="s">
        <v>1538</v>
      </c>
      <c r="D240">
        <v>1219.74</v>
      </c>
      <c r="E240" s="2">
        <v>45165</v>
      </c>
    </row>
    <row r="241" spans="1:5">
      <c r="A241" t="s">
        <v>1782</v>
      </c>
      <c r="B241" t="s">
        <v>2282</v>
      </c>
      <c r="C241" t="s">
        <v>1535</v>
      </c>
      <c r="D241">
        <v>3833.96</v>
      </c>
      <c r="E241" s="2">
        <v>45166</v>
      </c>
    </row>
    <row r="242" spans="1:5">
      <c r="A242" t="s">
        <v>1783</v>
      </c>
      <c r="B242" t="s">
        <v>2283</v>
      </c>
      <c r="C242" t="s">
        <v>1536</v>
      </c>
      <c r="D242">
        <v>1321.36</v>
      </c>
      <c r="E242" s="2">
        <v>45167</v>
      </c>
    </row>
    <row r="243" spans="1:5">
      <c r="A243" t="s">
        <v>1784</v>
      </c>
      <c r="B243" t="s">
        <v>2284</v>
      </c>
      <c r="C243" t="s">
        <v>1537</v>
      </c>
      <c r="D243">
        <v>558.66</v>
      </c>
      <c r="E243" s="2">
        <v>45168</v>
      </c>
    </row>
    <row r="244" spans="1:5">
      <c r="A244" t="s">
        <v>1785</v>
      </c>
      <c r="B244" t="s">
        <v>2285</v>
      </c>
      <c r="C244" t="s">
        <v>1537</v>
      </c>
      <c r="D244">
        <v>1445.49</v>
      </c>
      <c r="E244" s="2">
        <v>45169</v>
      </c>
    </row>
    <row r="245" spans="1:5">
      <c r="A245" t="s">
        <v>1786</v>
      </c>
      <c r="B245" t="s">
        <v>2286</v>
      </c>
      <c r="C245" t="s">
        <v>1535</v>
      </c>
      <c r="D245">
        <v>1154.1600000000001</v>
      </c>
      <c r="E245" s="2">
        <v>45170</v>
      </c>
    </row>
    <row r="246" spans="1:5">
      <c r="A246" t="s">
        <v>1787</v>
      </c>
      <c r="B246" t="s">
        <v>2287</v>
      </c>
      <c r="C246" t="s">
        <v>1537</v>
      </c>
      <c r="D246">
        <v>1182.83</v>
      </c>
      <c r="E246" s="2">
        <v>45171</v>
      </c>
    </row>
    <row r="247" spans="1:5">
      <c r="A247" t="s">
        <v>1788</v>
      </c>
      <c r="B247" t="s">
        <v>2288</v>
      </c>
      <c r="C247" t="s">
        <v>1537</v>
      </c>
      <c r="D247">
        <v>2383.2800000000002</v>
      </c>
      <c r="E247" s="2">
        <v>45172</v>
      </c>
    </row>
    <row r="248" spans="1:5">
      <c r="A248" t="s">
        <v>1789</v>
      </c>
      <c r="B248" t="s">
        <v>2289</v>
      </c>
      <c r="C248" t="s">
        <v>1538</v>
      </c>
      <c r="D248">
        <v>1460.4</v>
      </c>
      <c r="E248" s="2">
        <v>45173</v>
      </c>
    </row>
    <row r="249" spans="1:5">
      <c r="A249" t="s">
        <v>1790</v>
      </c>
      <c r="B249" t="s">
        <v>2290</v>
      </c>
      <c r="C249" t="s">
        <v>1537</v>
      </c>
      <c r="D249">
        <v>4434.5600000000004</v>
      </c>
      <c r="E249" s="2">
        <v>45174</v>
      </c>
    </row>
    <row r="250" spans="1:5">
      <c r="A250" t="s">
        <v>1791</v>
      </c>
      <c r="B250" t="s">
        <v>2291</v>
      </c>
      <c r="C250" t="s">
        <v>1537</v>
      </c>
      <c r="D250">
        <v>4318.83</v>
      </c>
      <c r="E250" s="2">
        <v>45175</v>
      </c>
    </row>
    <row r="251" spans="1:5">
      <c r="A251" t="s">
        <v>1792</v>
      </c>
      <c r="B251" t="s">
        <v>2292</v>
      </c>
      <c r="C251" t="s">
        <v>1536</v>
      </c>
      <c r="D251">
        <v>4805.5200000000004</v>
      </c>
      <c r="E251" s="2">
        <v>45176</v>
      </c>
    </row>
    <row r="252" spans="1:5">
      <c r="A252" t="s">
        <v>1793</v>
      </c>
      <c r="B252" t="s">
        <v>2293</v>
      </c>
      <c r="C252" t="s">
        <v>1537</v>
      </c>
      <c r="D252">
        <v>3233.01</v>
      </c>
      <c r="E252" s="2">
        <v>45177</v>
      </c>
    </row>
    <row r="253" spans="1:5">
      <c r="A253" t="s">
        <v>1794</v>
      </c>
      <c r="B253" t="s">
        <v>2294</v>
      </c>
      <c r="C253" t="s">
        <v>1537</v>
      </c>
      <c r="D253">
        <v>4278.3500000000004</v>
      </c>
      <c r="E253" s="2">
        <v>45178</v>
      </c>
    </row>
    <row r="254" spans="1:5">
      <c r="A254" t="s">
        <v>1795</v>
      </c>
      <c r="B254" t="s">
        <v>2295</v>
      </c>
      <c r="C254" t="s">
        <v>1537</v>
      </c>
      <c r="D254">
        <v>1644.67</v>
      </c>
      <c r="E254" s="2">
        <v>45179</v>
      </c>
    </row>
    <row r="255" spans="1:5">
      <c r="A255" t="s">
        <v>1796</v>
      </c>
      <c r="B255" t="s">
        <v>2296</v>
      </c>
      <c r="C255" t="s">
        <v>1536</v>
      </c>
      <c r="D255">
        <v>1503.26</v>
      </c>
      <c r="E255" s="2">
        <v>45180</v>
      </c>
    </row>
    <row r="256" spans="1:5">
      <c r="A256" t="s">
        <v>1797</v>
      </c>
      <c r="B256" t="s">
        <v>2297</v>
      </c>
      <c r="C256" t="s">
        <v>1536</v>
      </c>
      <c r="D256">
        <v>4767.38</v>
      </c>
      <c r="E256" s="2">
        <v>45181</v>
      </c>
    </row>
    <row r="257" spans="1:5">
      <c r="A257" t="s">
        <v>1798</v>
      </c>
      <c r="B257" t="s">
        <v>2298</v>
      </c>
      <c r="C257" t="s">
        <v>1535</v>
      </c>
      <c r="D257">
        <v>1200.8900000000001</v>
      </c>
      <c r="E257" s="2">
        <v>45182</v>
      </c>
    </row>
    <row r="258" spans="1:5">
      <c r="A258" t="s">
        <v>1799</v>
      </c>
      <c r="B258" t="s">
        <v>2299</v>
      </c>
      <c r="C258" t="s">
        <v>1537</v>
      </c>
      <c r="D258">
        <v>2709.47</v>
      </c>
      <c r="E258" s="2">
        <v>45183</v>
      </c>
    </row>
    <row r="259" spans="1:5">
      <c r="A259" t="s">
        <v>1800</v>
      </c>
      <c r="B259" t="s">
        <v>2300</v>
      </c>
      <c r="C259" t="s">
        <v>1536</v>
      </c>
      <c r="D259">
        <v>116.31</v>
      </c>
      <c r="E259" s="2">
        <v>45184</v>
      </c>
    </row>
    <row r="260" spans="1:5">
      <c r="A260" t="s">
        <v>1801</v>
      </c>
      <c r="B260" t="s">
        <v>2301</v>
      </c>
      <c r="C260" t="s">
        <v>1535</v>
      </c>
      <c r="D260">
        <v>3003.79</v>
      </c>
      <c r="E260" s="2">
        <v>45185</v>
      </c>
    </row>
    <row r="261" spans="1:5">
      <c r="A261" t="s">
        <v>1802</v>
      </c>
      <c r="B261" t="s">
        <v>2302</v>
      </c>
      <c r="C261" t="s">
        <v>1535</v>
      </c>
      <c r="D261">
        <v>180.56</v>
      </c>
      <c r="E261" s="2">
        <v>45186</v>
      </c>
    </row>
    <row r="262" spans="1:5">
      <c r="A262" t="s">
        <v>1803</v>
      </c>
      <c r="B262" t="s">
        <v>2303</v>
      </c>
      <c r="C262" t="s">
        <v>1538</v>
      </c>
      <c r="D262">
        <v>3862.29</v>
      </c>
      <c r="E262" s="2">
        <v>45187</v>
      </c>
    </row>
    <row r="263" spans="1:5">
      <c r="A263" t="s">
        <v>1804</v>
      </c>
      <c r="B263" t="s">
        <v>2304</v>
      </c>
      <c r="C263" t="s">
        <v>1535</v>
      </c>
      <c r="D263">
        <v>469.8</v>
      </c>
      <c r="E263" s="2">
        <v>45188</v>
      </c>
    </row>
    <row r="264" spans="1:5">
      <c r="A264" t="s">
        <v>1805</v>
      </c>
      <c r="B264" t="s">
        <v>2305</v>
      </c>
      <c r="C264" t="s">
        <v>1536</v>
      </c>
      <c r="D264">
        <v>4528.8599999999997</v>
      </c>
      <c r="E264" s="2">
        <v>45189</v>
      </c>
    </row>
    <row r="265" spans="1:5">
      <c r="A265" t="s">
        <v>1806</v>
      </c>
      <c r="B265" t="s">
        <v>2306</v>
      </c>
      <c r="C265" t="s">
        <v>1536</v>
      </c>
      <c r="D265">
        <v>659.76</v>
      </c>
      <c r="E265" s="2">
        <v>45190</v>
      </c>
    </row>
    <row r="266" spans="1:5">
      <c r="A266" t="s">
        <v>1807</v>
      </c>
      <c r="B266" t="s">
        <v>2307</v>
      </c>
      <c r="C266" t="s">
        <v>1536</v>
      </c>
      <c r="D266">
        <v>287.51</v>
      </c>
      <c r="E266" s="2">
        <v>45191</v>
      </c>
    </row>
    <row r="267" spans="1:5">
      <c r="A267" t="s">
        <v>1808</v>
      </c>
      <c r="B267" t="s">
        <v>2308</v>
      </c>
      <c r="C267" t="s">
        <v>1535</v>
      </c>
      <c r="D267">
        <v>1567.81</v>
      </c>
      <c r="E267" s="2">
        <v>45192</v>
      </c>
    </row>
    <row r="268" spans="1:5">
      <c r="A268" t="s">
        <v>1809</v>
      </c>
      <c r="B268" t="s">
        <v>2309</v>
      </c>
      <c r="C268" t="s">
        <v>1536</v>
      </c>
      <c r="D268">
        <v>1691.96</v>
      </c>
      <c r="E268" s="2">
        <v>45193</v>
      </c>
    </row>
    <row r="269" spans="1:5">
      <c r="A269" t="s">
        <v>1810</v>
      </c>
      <c r="B269" t="s">
        <v>2310</v>
      </c>
      <c r="C269" t="s">
        <v>1538</v>
      </c>
      <c r="D269">
        <v>1268.1500000000001</v>
      </c>
      <c r="E269" s="2">
        <v>45194</v>
      </c>
    </row>
    <row r="270" spans="1:5">
      <c r="A270" t="s">
        <v>1811</v>
      </c>
      <c r="B270" t="s">
        <v>2311</v>
      </c>
      <c r="C270" t="s">
        <v>1536</v>
      </c>
      <c r="D270">
        <v>2956.88</v>
      </c>
      <c r="E270" s="2">
        <v>45195</v>
      </c>
    </row>
    <row r="271" spans="1:5">
      <c r="A271" t="s">
        <v>1812</v>
      </c>
      <c r="B271" t="s">
        <v>2312</v>
      </c>
      <c r="C271" t="s">
        <v>1535</v>
      </c>
      <c r="D271">
        <v>2822.63</v>
      </c>
      <c r="E271" s="2">
        <v>45196</v>
      </c>
    </row>
    <row r="272" spans="1:5">
      <c r="A272" t="s">
        <v>1813</v>
      </c>
      <c r="B272" t="s">
        <v>2313</v>
      </c>
      <c r="C272" t="s">
        <v>1537</v>
      </c>
      <c r="D272">
        <v>2896.08</v>
      </c>
      <c r="E272" s="2">
        <v>45197</v>
      </c>
    </row>
    <row r="273" spans="1:5">
      <c r="A273" t="s">
        <v>1814</v>
      </c>
      <c r="B273" t="s">
        <v>2314</v>
      </c>
      <c r="C273" t="s">
        <v>1536</v>
      </c>
      <c r="D273">
        <v>1654.31</v>
      </c>
      <c r="E273" s="2">
        <v>45198</v>
      </c>
    </row>
    <row r="274" spans="1:5">
      <c r="A274" t="s">
        <v>1815</v>
      </c>
      <c r="B274" t="s">
        <v>2315</v>
      </c>
      <c r="C274" t="s">
        <v>1535</v>
      </c>
      <c r="D274">
        <v>2779.04</v>
      </c>
      <c r="E274" s="2">
        <v>45199</v>
      </c>
    </row>
    <row r="275" spans="1:5">
      <c r="A275" t="s">
        <v>1816</v>
      </c>
      <c r="B275" t="s">
        <v>2316</v>
      </c>
      <c r="C275" t="s">
        <v>1535</v>
      </c>
      <c r="D275">
        <v>3018.74</v>
      </c>
      <c r="E275" s="2">
        <v>45200</v>
      </c>
    </row>
    <row r="276" spans="1:5">
      <c r="A276" t="s">
        <v>1817</v>
      </c>
      <c r="B276" t="s">
        <v>2317</v>
      </c>
      <c r="C276" t="s">
        <v>1537</v>
      </c>
      <c r="D276">
        <v>2637.42</v>
      </c>
      <c r="E276" s="2">
        <v>45201</v>
      </c>
    </row>
    <row r="277" spans="1:5">
      <c r="A277" t="s">
        <v>1818</v>
      </c>
      <c r="B277" t="s">
        <v>2318</v>
      </c>
      <c r="C277" t="s">
        <v>1537</v>
      </c>
      <c r="D277">
        <v>3151.08</v>
      </c>
      <c r="E277" s="2">
        <v>45202</v>
      </c>
    </row>
    <row r="278" spans="1:5">
      <c r="A278" t="s">
        <v>1819</v>
      </c>
      <c r="B278" t="s">
        <v>2319</v>
      </c>
      <c r="C278" t="s">
        <v>1537</v>
      </c>
      <c r="D278">
        <v>4981.09</v>
      </c>
      <c r="E278" s="2">
        <v>45203</v>
      </c>
    </row>
    <row r="279" spans="1:5">
      <c r="A279" t="s">
        <v>1820</v>
      </c>
      <c r="B279" t="s">
        <v>2320</v>
      </c>
      <c r="C279" t="s">
        <v>1537</v>
      </c>
      <c r="D279">
        <v>2670.22</v>
      </c>
      <c r="E279" s="2">
        <v>45204</v>
      </c>
    </row>
    <row r="280" spans="1:5">
      <c r="A280" t="s">
        <v>1821</v>
      </c>
      <c r="B280" t="s">
        <v>2321</v>
      </c>
      <c r="C280" t="s">
        <v>1538</v>
      </c>
      <c r="D280">
        <v>2301.36</v>
      </c>
      <c r="E280" s="2">
        <v>45205</v>
      </c>
    </row>
    <row r="281" spans="1:5">
      <c r="A281" t="s">
        <v>1822</v>
      </c>
      <c r="B281" t="s">
        <v>2322</v>
      </c>
      <c r="C281" t="s">
        <v>1537</v>
      </c>
      <c r="D281">
        <v>2796.27</v>
      </c>
      <c r="E281" s="2">
        <v>45206</v>
      </c>
    </row>
    <row r="282" spans="1:5">
      <c r="A282" t="s">
        <v>1823</v>
      </c>
      <c r="B282" t="s">
        <v>2323</v>
      </c>
      <c r="C282" t="s">
        <v>1535</v>
      </c>
      <c r="D282">
        <v>1343.29</v>
      </c>
      <c r="E282" s="2">
        <v>45207</v>
      </c>
    </row>
    <row r="283" spans="1:5">
      <c r="A283" t="s">
        <v>1824</v>
      </c>
      <c r="B283" t="s">
        <v>2324</v>
      </c>
      <c r="C283" t="s">
        <v>1536</v>
      </c>
      <c r="D283">
        <v>2325</v>
      </c>
      <c r="E283" s="2">
        <v>45208</v>
      </c>
    </row>
    <row r="284" spans="1:5">
      <c r="A284" t="s">
        <v>1825</v>
      </c>
      <c r="B284" t="s">
        <v>2325</v>
      </c>
      <c r="C284" t="s">
        <v>1536</v>
      </c>
      <c r="D284">
        <v>4179.75</v>
      </c>
      <c r="E284" s="2">
        <v>45209</v>
      </c>
    </row>
    <row r="285" spans="1:5">
      <c r="A285" t="s">
        <v>1826</v>
      </c>
      <c r="B285" t="s">
        <v>2326</v>
      </c>
      <c r="C285" t="s">
        <v>1535</v>
      </c>
      <c r="D285">
        <v>1052.1199999999999</v>
      </c>
      <c r="E285" s="2">
        <v>45210</v>
      </c>
    </row>
    <row r="286" spans="1:5">
      <c r="A286" t="s">
        <v>1827</v>
      </c>
      <c r="B286" t="s">
        <v>2327</v>
      </c>
      <c r="C286" t="s">
        <v>1537</v>
      </c>
      <c r="D286">
        <v>4317.28</v>
      </c>
      <c r="E286" s="2">
        <v>45211</v>
      </c>
    </row>
    <row r="287" spans="1:5">
      <c r="A287" t="s">
        <v>1828</v>
      </c>
      <c r="B287" t="s">
        <v>2328</v>
      </c>
      <c r="C287" t="s">
        <v>1535</v>
      </c>
      <c r="D287">
        <v>3454.68</v>
      </c>
      <c r="E287" s="2">
        <v>45212</v>
      </c>
    </row>
    <row r="288" spans="1:5">
      <c r="A288" t="s">
        <v>1829</v>
      </c>
      <c r="B288" t="s">
        <v>2329</v>
      </c>
      <c r="C288" t="s">
        <v>1535</v>
      </c>
      <c r="D288">
        <v>2921.04</v>
      </c>
      <c r="E288" s="2">
        <v>45213</v>
      </c>
    </row>
    <row r="289" spans="1:5">
      <c r="A289" t="s">
        <v>1830</v>
      </c>
      <c r="B289" t="s">
        <v>2330</v>
      </c>
      <c r="C289" t="s">
        <v>1535</v>
      </c>
      <c r="D289">
        <v>1031.49</v>
      </c>
      <c r="E289" s="2">
        <v>45214</v>
      </c>
    </row>
    <row r="290" spans="1:5">
      <c r="A290" t="s">
        <v>1831</v>
      </c>
      <c r="B290" t="s">
        <v>2331</v>
      </c>
      <c r="C290" t="s">
        <v>1538</v>
      </c>
      <c r="D290">
        <v>3565.68</v>
      </c>
      <c r="E290" s="2">
        <v>45215</v>
      </c>
    </row>
    <row r="291" spans="1:5">
      <c r="A291" t="s">
        <v>1832</v>
      </c>
      <c r="B291" t="s">
        <v>2332</v>
      </c>
      <c r="C291" t="s">
        <v>1536</v>
      </c>
      <c r="D291">
        <v>3710.15</v>
      </c>
      <c r="E291" s="2">
        <v>45216</v>
      </c>
    </row>
    <row r="292" spans="1:5">
      <c r="A292" t="s">
        <v>1833</v>
      </c>
      <c r="B292" t="s">
        <v>2333</v>
      </c>
      <c r="C292" t="s">
        <v>1535</v>
      </c>
      <c r="D292">
        <v>3994.47</v>
      </c>
      <c r="E292" s="2">
        <v>45217</v>
      </c>
    </row>
    <row r="293" spans="1:5">
      <c r="A293" t="s">
        <v>1834</v>
      </c>
      <c r="B293" t="s">
        <v>2334</v>
      </c>
      <c r="C293" t="s">
        <v>1535</v>
      </c>
      <c r="D293">
        <v>605.96</v>
      </c>
      <c r="E293" s="2">
        <v>45218</v>
      </c>
    </row>
    <row r="294" spans="1:5">
      <c r="A294" t="s">
        <v>1835</v>
      </c>
      <c r="B294" t="s">
        <v>2335</v>
      </c>
      <c r="C294" t="s">
        <v>1538</v>
      </c>
      <c r="D294">
        <v>821.11</v>
      </c>
      <c r="E294" s="2">
        <v>45219</v>
      </c>
    </row>
    <row r="295" spans="1:5">
      <c r="A295" t="s">
        <v>1836</v>
      </c>
      <c r="B295" t="s">
        <v>2336</v>
      </c>
      <c r="C295" t="s">
        <v>1535</v>
      </c>
      <c r="D295">
        <v>2451.2399999999998</v>
      </c>
      <c r="E295" s="2">
        <v>45220</v>
      </c>
    </row>
    <row r="296" spans="1:5">
      <c r="A296" t="s">
        <v>1837</v>
      </c>
      <c r="B296" t="s">
        <v>2337</v>
      </c>
      <c r="C296" t="s">
        <v>1536</v>
      </c>
      <c r="D296">
        <v>3446.53</v>
      </c>
      <c r="E296" s="2">
        <v>45221</v>
      </c>
    </row>
    <row r="297" spans="1:5">
      <c r="A297" t="s">
        <v>1838</v>
      </c>
      <c r="B297" t="s">
        <v>2338</v>
      </c>
      <c r="C297" t="s">
        <v>1537</v>
      </c>
      <c r="D297">
        <v>3734.48</v>
      </c>
      <c r="E297" s="2">
        <v>45222</v>
      </c>
    </row>
    <row r="298" spans="1:5">
      <c r="A298" t="s">
        <v>1839</v>
      </c>
      <c r="B298" t="s">
        <v>2339</v>
      </c>
      <c r="C298" t="s">
        <v>1536</v>
      </c>
      <c r="D298">
        <v>1479.23</v>
      </c>
      <c r="E298" s="2">
        <v>45223</v>
      </c>
    </row>
    <row r="299" spans="1:5">
      <c r="A299" t="s">
        <v>1840</v>
      </c>
      <c r="B299" t="s">
        <v>2340</v>
      </c>
      <c r="C299" t="s">
        <v>1538</v>
      </c>
      <c r="D299">
        <v>959.59</v>
      </c>
      <c r="E299" s="2">
        <v>45224</v>
      </c>
    </row>
    <row r="300" spans="1:5">
      <c r="A300" t="s">
        <v>1841</v>
      </c>
      <c r="B300" t="s">
        <v>2341</v>
      </c>
      <c r="C300" t="s">
        <v>1537</v>
      </c>
      <c r="D300">
        <v>490.99</v>
      </c>
      <c r="E300" s="2">
        <v>45225</v>
      </c>
    </row>
    <row r="301" spans="1:5">
      <c r="A301" t="s">
        <v>1842</v>
      </c>
      <c r="B301" t="s">
        <v>2342</v>
      </c>
      <c r="C301" t="s">
        <v>1536</v>
      </c>
      <c r="D301">
        <v>957.76</v>
      </c>
      <c r="E301" s="2">
        <v>45226</v>
      </c>
    </row>
    <row r="302" spans="1:5">
      <c r="A302" t="s">
        <v>1843</v>
      </c>
      <c r="B302" t="s">
        <v>2343</v>
      </c>
      <c r="C302" t="s">
        <v>1535</v>
      </c>
      <c r="D302">
        <v>655.55</v>
      </c>
      <c r="E302" s="2">
        <v>45227</v>
      </c>
    </row>
    <row r="303" spans="1:5">
      <c r="A303" t="s">
        <v>1844</v>
      </c>
      <c r="B303" t="s">
        <v>2344</v>
      </c>
      <c r="C303" t="s">
        <v>1536</v>
      </c>
      <c r="D303">
        <v>4418.4399999999996</v>
      </c>
      <c r="E303" s="2">
        <v>45228</v>
      </c>
    </row>
    <row r="304" spans="1:5">
      <c r="A304" t="s">
        <v>1845</v>
      </c>
      <c r="B304" t="s">
        <v>2345</v>
      </c>
      <c r="C304" t="s">
        <v>1538</v>
      </c>
      <c r="D304">
        <v>2876.33</v>
      </c>
      <c r="E304" s="2">
        <v>45229</v>
      </c>
    </row>
    <row r="305" spans="1:5">
      <c r="A305" t="s">
        <v>1846</v>
      </c>
      <c r="B305" t="s">
        <v>2346</v>
      </c>
      <c r="C305" t="s">
        <v>1536</v>
      </c>
      <c r="D305">
        <v>2072.0300000000002</v>
      </c>
      <c r="E305" s="2">
        <v>45230</v>
      </c>
    </row>
    <row r="306" spans="1:5">
      <c r="A306" t="s">
        <v>1847</v>
      </c>
      <c r="B306" t="s">
        <v>2347</v>
      </c>
      <c r="C306" t="s">
        <v>1536</v>
      </c>
      <c r="D306">
        <v>444.57</v>
      </c>
      <c r="E306" s="2">
        <v>45231</v>
      </c>
    </row>
    <row r="307" spans="1:5">
      <c r="A307" t="s">
        <v>1848</v>
      </c>
      <c r="B307" t="s">
        <v>2348</v>
      </c>
      <c r="C307" t="s">
        <v>1536</v>
      </c>
      <c r="D307">
        <v>380.63</v>
      </c>
      <c r="E307" s="2">
        <v>45232</v>
      </c>
    </row>
    <row r="308" spans="1:5">
      <c r="A308" t="s">
        <v>1849</v>
      </c>
      <c r="B308" t="s">
        <v>2349</v>
      </c>
      <c r="C308" t="s">
        <v>1538</v>
      </c>
      <c r="D308">
        <v>1627.7</v>
      </c>
      <c r="E308" s="2">
        <v>45233</v>
      </c>
    </row>
    <row r="309" spans="1:5">
      <c r="A309" t="s">
        <v>1850</v>
      </c>
      <c r="B309" t="s">
        <v>2350</v>
      </c>
      <c r="C309" t="s">
        <v>1536</v>
      </c>
      <c r="D309">
        <v>2670.48</v>
      </c>
      <c r="E309" s="2">
        <v>45234</v>
      </c>
    </row>
    <row r="310" spans="1:5">
      <c r="A310" t="s">
        <v>1851</v>
      </c>
      <c r="B310" t="s">
        <v>2351</v>
      </c>
      <c r="C310" t="s">
        <v>1536</v>
      </c>
      <c r="D310">
        <v>2129.52</v>
      </c>
      <c r="E310" s="2">
        <v>45235</v>
      </c>
    </row>
    <row r="311" spans="1:5">
      <c r="A311" t="s">
        <v>1852</v>
      </c>
      <c r="B311" t="s">
        <v>2352</v>
      </c>
      <c r="C311" t="s">
        <v>1536</v>
      </c>
      <c r="D311">
        <v>4388.3999999999996</v>
      </c>
      <c r="E311" s="2">
        <v>45236</v>
      </c>
    </row>
    <row r="312" spans="1:5">
      <c r="A312" t="s">
        <v>1853</v>
      </c>
      <c r="B312" t="s">
        <v>2353</v>
      </c>
      <c r="C312" t="s">
        <v>1537</v>
      </c>
      <c r="D312">
        <v>4821.7299999999996</v>
      </c>
      <c r="E312" s="2">
        <v>45237</v>
      </c>
    </row>
    <row r="313" spans="1:5">
      <c r="A313" t="s">
        <v>1854</v>
      </c>
      <c r="B313" t="s">
        <v>2354</v>
      </c>
      <c r="C313" t="s">
        <v>1536</v>
      </c>
      <c r="D313">
        <v>2973.26</v>
      </c>
      <c r="E313" s="2">
        <v>45238</v>
      </c>
    </row>
    <row r="314" spans="1:5">
      <c r="A314" t="s">
        <v>1855</v>
      </c>
      <c r="B314" t="s">
        <v>2355</v>
      </c>
      <c r="C314" t="s">
        <v>1536</v>
      </c>
      <c r="D314">
        <v>4024.34</v>
      </c>
      <c r="E314" s="2">
        <v>45239</v>
      </c>
    </row>
    <row r="315" spans="1:5">
      <c r="A315" t="s">
        <v>1856</v>
      </c>
      <c r="B315" t="s">
        <v>2356</v>
      </c>
      <c r="C315" t="s">
        <v>1538</v>
      </c>
      <c r="D315">
        <v>4916.8900000000003</v>
      </c>
      <c r="E315" s="2">
        <v>45240</v>
      </c>
    </row>
    <row r="316" spans="1:5">
      <c r="A316" t="s">
        <v>1857</v>
      </c>
      <c r="B316" t="s">
        <v>2357</v>
      </c>
      <c r="C316" t="s">
        <v>1538</v>
      </c>
      <c r="D316">
        <v>855.63</v>
      </c>
      <c r="E316" s="2">
        <v>45241</v>
      </c>
    </row>
    <row r="317" spans="1:5">
      <c r="A317" t="s">
        <v>1858</v>
      </c>
      <c r="B317" t="s">
        <v>2358</v>
      </c>
      <c r="C317" t="s">
        <v>1538</v>
      </c>
      <c r="D317">
        <v>418.85</v>
      </c>
      <c r="E317" s="2">
        <v>45242</v>
      </c>
    </row>
    <row r="318" spans="1:5">
      <c r="A318" t="s">
        <v>1859</v>
      </c>
      <c r="B318" t="s">
        <v>2359</v>
      </c>
      <c r="C318" t="s">
        <v>1536</v>
      </c>
      <c r="D318">
        <v>3114.65</v>
      </c>
      <c r="E318" s="2">
        <v>45243</v>
      </c>
    </row>
    <row r="319" spans="1:5">
      <c r="A319" t="s">
        <v>1860</v>
      </c>
      <c r="B319" t="s">
        <v>2360</v>
      </c>
      <c r="C319" t="s">
        <v>1538</v>
      </c>
      <c r="D319">
        <v>566.69000000000005</v>
      </c>
      <c r="E319" s="2">
        <v>45244</v>
      </c>
    </row>
    <row r="320" spans="1:5">
      <c r="A320" t="s">
        <v>1861</v>
      </c>
      <c r="B320" t="s">
        <v>2361</v>
      </c>
      <c r="C320" t="s">
        <v>1536</v>
      </c>
      <c r="D320">
        <v>506.98</v>
      </c>
      <c r="E320" s="2">
        <v>45245</v>
      </c>
    </row>
    <row r="321" spans="1:5">
      <c r="A321" t="s">
        <v>1862</v>
      </c>
      <c r="B321" t="s">
        <v>2362</v>
      </c>
      <c r="C321" t="s">
        <v>1537</v>
      </c>
      <c r="D321">
        <v>1985.09</v>
      </c>
      <c r="E321" s="2">
        <v>45246</v>
      </c>
    </row>
    <row r="322" spans="1:5">
      <c r="A322" t="s">
        <v>1863</v>
      </c>
      <c r="B322" t="s">
        <v>2363</v>
      </c>
      <c r="C322" t="s">
        <v>1536</v>
      </c>
      <c r="D322">
        <v>1627.01</v>
      </c>
      <c r="E322" s="2">
        <v>45247</v>
      </c>
    </row>
    <row r="323" spans="1:5">
      <c r="A323" t="s">
        <v>1864</v>
      </c>
      <c r="B323" t="s">
        <v>2364</v>
      </c>
      <c r="C323" t="s">
        <v>1537</v>
      </c>
      <c r="D323">
        <v>4916.26</v>
      </c>
      <c r="E323" s="2">
        <v>45248</v>
      </c>
    </row>
    <row r="324" spans="1:5">
      <c r="A324" t="s">
        <v>1865</v>
      </c>
      <c r="B324" t="s">
        <v>2365</v>
      </c>
      <c r="C324" t="s">
        <v>1538</v>
      </c>
      <c r="D324">
        <v>2778.09</v>
      </c>
      <c r="E324" s="2">
        <v>45249</v>
      </c>
    </row>
    <row r="325" spans="1:5">
      <c r="A325" t="s">
        <v>1866</v>
      </c>
      <c r="B325" t="s">
        <v>2366</v>
      </c>
      <c r="C325" t="s">
        <v>1538</v>
      </c>
      <c r="D325">
        <v>1478.88</v>
      </c>
      <c r="E325" s="2">
        <v>45250</v>
      </c>
    </row>
    <row r="326" spans="1:5">
      <c r="A326" t="s">
        <v>1867</v>
      </c>
      <c r="B326" t="s">
        <v>2367</v>
      </c>
      <c r="C326" t="s">
        <v>1538</v>
      </c>
      <c r="D326">
        <v>2821.82</v>
      </c>
      <c r="E326" s="2">
        <v>45251</v>
      </c>
    </row>
    <row r="327" spans="1:5">
      <c r="A327" t="s">
        <v>1868</v>
      </c>
      <c r="B327" t="s">
        <v>2368</v>
      </c>
      <c r="C327" t="s">
        <v>1538</v>
      </c>
      <c r="D327">
        <v>1492.73</v>
      </c>
      <c r="E327" s="2">
        <v>45252</v>
      </c>
    </row>
    <row r="328" spans="1:5">
      <c r="A328" t="s">
        <v>1869</v>
      </c>
      <c r="B328" t="s">
        <v>2369</v>
      </c>
      <c r="C328" t="s">
        <v>1537</v>
      </c>
      <c r="D328">
        <v>2875.01</v>
      </c>
      <c r="E328" s="2">
        <v>45253</v>
      </c>
    </row>
    <row r="329" spans="1:5">
      <c r="A329" t="s">
        <v>1870</v>
      </c>
      <c r="B329" t="s">
        <v>2370</v>
      </c>
      <c r="C329" t="s">
        <v>1535</v>
      </c>
      <c r="D329">
        <v>3240.5</v>
      </c>
      <c r="E329" s="2">
        <v>45254</v>
      </c>
    </row>
    <row r="330" spans="1:5">
      <c r="A330" t="s">
        <v>1871</v>
      </c>
      <c r="B330" t="s">
        <v>2371</v>
      </c>
      <c r="C330" t="s">
        <v>1538</v>
      </c>
      <c r="D330">
        <v>3515.13</v>
      </c>
      <c r="E330" s="2">
        <v>45255</v>
      </c>
    </row>
    <row r="331" spans="1:5">
      <c r="A331" t="s">
        <v>1872</v>
      </c>
      <c r="B331" t="s">
        <v>2372</v>
      </c>
      <c r="C331" t="s">
        <v>1537</v>
      </c>
      <c r="D331">
        <v>100.65</v>
      </c>
      <c r="E331" s="2">
        <v>45256</v>
      </c>
    </row>
    <row r="332" spans="1:5">
      <c r="A332" t="s">
        <v>1873</v>
      </c>
      <c r="B332" t="s">
        <v>2373</v>
      </c>
      <c r="C332" t="s">
        <v>1536</v>
      </c>
      <c r="D332">
        <v>4552.24</v>
      </c>
      <c r="E332" s="2">
        <v>45257</v>
      </c>
    </row>
    <row r="333" spans="1:5">
      <c r="A333" t="s">
        <v>1874</v>
      </c>
      <c r="B333" t="s">
        <v>2374</v>
      </c>
      <c r="C333" t="s">
        <v>1536</v>
      </c>
      <c r="D333">
        <v>1398.33</v>
      </c>
      <c r="E333" s="2">
        <v>45258</v>
      </c>
    </row>
    <row r="334" spans="1:5">
      <c r="A334" t="s">
        <v>1875</v>
      </c>
      <c r="B334" t="s">
        <v>2375</v>
      </c>
      <c r="C334" t="s">
        <v>1535</v>
      </c>
      <c r="D334">
        <v>3221.14</v>
      </c>
      <c r="E334" s="2">
        <v>45259</v>
      </c>
    </row>
    <row r="335" spans="1:5">
      <c r="A335" t="s">
        <v>1876</v>
      </c>
      <c r="B335" t="s">
        <v>2376</v>
      </c>
      <c r="C335" t="s">
        <v>1536</v>
      </c>
      <c r="D335">
        <v>4330.87</v>
      </c>
      <c r="E335" s="2">
        <v>45260</v>
      </c>
    </row>
    <row r="336" spans="1:5">
      <c r="A336" t="s">
        <v>1877</v>
      </c>
      <c r="B336" t="s">
        <v>2377</v>
      </c>
      <c r="C336" t="s">
        <v>1538</v>
      </c>
      <c r="D336">
        <v>3283.34</v>
      </c>
      <c r="E336" s="2">
        <v>45261</v>
      </c>
    </row>
    <row r="337" spans="1:5">
      <c r="A337" t="s">
        <v>1878</v>
      </c>
      <c r="B337" t="s">
        <v>2378</v>
      </c>
      <c r="C337" t="s">
        <v>1537</v>
      </c>
      <c r="D337">
        <v>832.94</v>
      </c>
      <c r="E337" s="2">
        <v>45262</v>
      </c>
    </row>
    <row r="338" spans="1:5">
      <c r="A338" t="s">
        <v>1879</v>
      </c>
      <c r="B338" t="s">
        <v>2379</v>
      </c>
      <c r="C338" t="s">
        <v>1537</v>
      </c>
      <c r="D338">
        <v>2780.19</v>
      </c>
      <c r="E338" s="2">
        <v>45263</v>
      </c>
    </row>
    <row r="339" spans="1:5">
      <c r="A339" t="s">
        <v>1880</v>
      </c>
      <c r="B339" t="s">
        <v>2380</v>
      </c>
      <c r="C339" t="s">
        <v>1538</v>
      </c>
      <c r="D339">
        <v>1119.3699999999999</v>
      </c>
      <c r="E339" s="2">
        <v>45264</v>
      </c>
    </row>
    <row r="340" spans="1:5">
      <c r="A340" t="s">
        <v>1881</v>
      </c>
      <c r="B340" t="s">
        <v>2381</v>
      </c>
      <c r="C340" t="s">
        <v>1537</v>
      </c>
      <c r="D340">
        <v>659.64</v>
      </c>
      <c r="E340" s="2">
        <v>45265</v>
      </c>
    </row>
    <row r="341" spans="1:5">
      <c r="A341" t="s">
        <v>1882</v>
      </c>
      <c r="B341" t="s">
        <v>2382</v>
      </c>
      <c r="C341" t="s">
        <v>1538</v>
      </c>
      <c r="D341">
        <v>1560.11</v>
      </c>
      <c r="E341" s="2">
        <v>45266</v>
      </c>
    </row>
    <row r="342" spans="1:5">
      <c r="A342" t="s">
        <v>1883</v>
      </c>
      <c r="B342" t="s">
        <v>2383</v>
      </c>
      <c r="C342" t="s">
        <v>1535</v>
      </c>
      <c r="D342">
        <v>3374.67</v>
      </c>
      <c r="E342" s="2">
        <v>45267</v>
      </c>
    </row>
    <row r="343" spans="1:5">
      <c r="A343" t="s">
        <v>1884</v>
      </c>
      <c r="B343" t="s">
        <v>2384</v>
      </c>
      <c r="C343" t="s">
        <v>1538</v>
      </c>
      <c r="D343">
        <v>771.36</v>
      </c>
      <c r="E343" s="2">
        <v>45268</v>
      </c>
    </row>
    <row r="344" spans="1:5">
      <c r="A344" t="s">
        <v>1885</v>
      </c>
      <c r="B344" t="s">
        <v>2385</v>
      </c>
      <c r="C344" t="s">
        <v>1536</v>
      </c>
      <c r="D344">
        <v>4476.25</v>
      </c>
      <c r="E344" s="2">
        <v>45269</v>
      </c>
    </row>
    <row r="345" spans="1:5">
      <c r="A345" t="s">
        <v>1886</v>
      </c>
      <c r="B345" t="s">
        <v>2386</v>
      </c>
      <c r="C345" t="s">
        <v>1538</v>
      </c>
      <c r="D345">
        <v>2031.36</v>
      </c>
      <c r="E345" s="2">
        <v>45270</v>
      </c>
    </row>
    <row r="346" spans="1:5">
      <c r="A346" t="s">
        <v>1887</v>
      </c>
      <c r="B346" t="s">
        <v>2387</v>
      </c>
      <c r="C346" t="s">
        <v>1536</v>
      </c>
      <c r="D346">
        <v>431.42</v>
      </c>
      <c r="E346" s="2">
        <v>45271</v>
      </c>
    </row>
    <row r="347" spans="1:5">
      <c r="A347" t="s">
        <v>1888</v>
      </c>
      <c r="B347" t="s">
        <v>2388</v>
      </c>
      <c r="C347" t="s">
        <v>1535</v>
      </c>
      <c r="D347">
        <v>3121.89</v>
      </c>
      <c r="E347" s="2">
        <v>45272</v>
      </c>
    </row>
    <row r="348" spans="1:5">
      <c r="A348" t="s">
        <v>1889</v>
      </c>
      <c r="B348" t="s">
        <v>2389</v>
      </c>
      <c r="C348" t="s">
        <v>1535</v>
      </c>
      <c r="D348">
        <v>2273.94</v>
      </c>
      <c r="E348" s="2">
        <v>45273</v>
      </c>
    </row>
    <row r="349" spans="1:5">
      <c r="A349" t="s">
        <v>1890</v>
      </c>
      <c r="B349" t="s">
        <v>2390</v>
      </c>
      <c r="C349" t="s">
        <v>1538</v>
      </c>
      <c r="D349">
        <v>2130.87</v>
      </c>
      <c r="E349" s="2">
        <v>45274</v>
      </c>
    </row>
    <row r="350" spans="1:5">
      <c r="A350" t="s">
        <v>1891</v>
      </c>
      <c r="B350" t="s">
        <v>2391</v>
      </c>
      <c r="C350" t="s">
        <v>1538</v>
      </c>
      <c r="D350">
        <v>3694.42</v>
      </c>
      <c r="E350" s="2">
        <v>45275</v>
      </c>
    </row>
    <row r="351" spans="1:5">
      <c r="A351" t="s">
        <v>1892</v>
      </c>
      <c r="B351" t="s">
        <v>2392</v>
      </c>
      <c r="C351" t="s">
        <v>1536</v>
      </c>
      <c r="D351">
        <v>1953.28</v>
      </c>
      <c r="E351" s="2">
        <v>45276</v>
      </c>
    </row>
    <row r="352" spans="1:5">
      <c r="A352" t="s">
        <v>1893</v>
      </c>
      <c r="B352" t="s">
        <v>2393</v>
      </c>
      <c r="C352" t="s">
        <v>1535</v>
      </c>
      <c r="D352">
        <v>888.54</v>
      </c>
      <c r="E352" s="2">
        <v>45277</v>
      </c>
    </row>
    <row r="353" spans="1:5">
      <c r="A353" t="s">
        <v>1894</v>
      </c>
      <c r="B353" t="s">
        <v>2394</v>
      </c>
      <c r="C353" t="s">
        <v>1535</v>
      </c>
      <c r="D353">
        <v>1412.76</v>
      </c>
      <c r="E353" s="2">
        <v>45278</v>
      </c>
    </row>
    <row r="354" spans="1:5">
      <c r="A354" t="s">
        <v>1895</v>
      </c>
      <c r="B354" t="s">
        <v>2395</v>
      </c>
      <c r="C354" t="s">
        <v>1535</v>
      </c>
      <c r="D354">
        <v>3557.54</v>
      </c>
      <c r="E354" s="2">
        <v>45279</v>
      </c>
    </row>
    <row r="355" spans="1:5">
      <c r="A355" t="s">
        <v>1896</v>
      </c>
      <c r="B355" t="s">
        <v>2396</v>
      </c>
      <c r="C355" t="s">
        <v>1538</v>
      </c>
      <c r="D355">
        <v>1382.89</v>
      </c>
      <c r="E355" s="2">
        <v>45280</v>
      </c>
    </row>
    <row r="356" spans="1:5">
      <c r="A356" t="s">
        <v>1897</v>
      </c>
      <c r="B356" t="s">
        <v>2397</v>
      </c>
      <c r="C356" t="s">
        <v>1537</v>
      </c>
      <c r="D356">
        <v>407.7</v>
      </c>
      <c r="E356" s="2">
        <v>45281</v>
      </c>
    </row>
    <row r="357" spans="1:5">
      <c r="A357" t="s">
        <v>1898</v>
      </c>
      <c r="B357" t="s">
        <v>2398</v>
      </c>
      <c r="C357" t="s">
        <v>1536</v>
      </c>
      <c r="D357">
        <v>1945.65</v>
      </c>
      <c r="E357" s="2">
        <v>45282</v>
      </c>
    </row>
    <row r="358" spans="1:5">
      <c r="A358" t="s">
        <v>1899</v>
      </c>
      <c r="B358" t="s">
        <v>2399</v>
      </c>
      <c r="C358" t="s">
        <v>1538</v>
      </c>
      <c r="D358">
        <v>1292.3599999999999</v>
      </c>
      <c r="E358" s="2">
        <v>45283</v>
      </c>
    </row>
    <row r="359" spans="1:5">
      <c r="A359" t="s">
        <v>1900</v>
      </c>
      <c r="B359" t="s">
        <v>2400</v>
      </c>
      <c r="C359" t="s">
        <v>1537</v>
      </c>
      <c r="D359">
        <v>2798.92</v>
      </c>
      <c r="E359" s="2">
        <v>45284</v>
      </c>
    </row>
    <row r="360" spans="1:5">
      <c r="A360" t="s">
        <v>1901</v>
      </c>
      <c r="B360" t="s">
        <v>2401</v>
      </c>
      <c r="C360" t="s">
        <v>1535</v>
      </c>
      <c r="D360">
        <v>4604.0600000000004</v>
      </c>
      <c r="E360" s="2">
        <v>45285</v>
      </c>
    </row>
    <row r="361" spans="1:5">
      <c r="A361" t="s">
        <v>1902</v>
      </c>
      <c r="B361" t="s">
        <v>2402</v>
      </c>
      <c r="C361" t="s">
        <v>1537</v>
      </c>
      <c r="D361">
        <v>2985.09</v>
      </c>
      <c r="E361" s="2">
        <v>45286</v>
      </c>
    </row>
    <row r="362" spans="1:5">
      <c r="A362" t="s">
        <v>1903</v>
      </c>
      <c r="B362" t="s">
        <v>2403</v>
      </c>
      <c r="C362" t="s">
        <v>1537</v>
      </c>
      <c r="D362">
        <v>875.24</v>
      </c>
      <c r="E362" s="2">
        <v>45287</v>
      </c>
    </row>
    <row r="363" spans="1:5">
      <c r="A363" t="s">
        <v>1904</v>
      </c>
      <c r="B363" t="s">
        <v>2404</v>
      </c>
      <c r="C363" t="s">
        <v>1535</v>
      </c>
      <c r="D363">
        <v>3725.08</v>
      </c>
      <c r="E363" s="2">
        <v>45288</v>
      </c>
    </row>
    <row r="364" spans="1:5">
      <c r="A364" t="s">
        <v>1905</v>
      </c>
      <c r="B364" t="s">
        <v>2405</v>
      </c>
      <c r="C364" t="s">
        <v>1535</v>
      </c>
      <c r="D364">
        <v>3424.68</v>
      </c>
      <c r="E364" s="2">
        <v>45289</v>
      </c>
    </row>
    <row r="365" spans="1:5">
      <c r="A365" t="s">
        <v>1906</v>
      </c>
      <c r="B365" t="s">
        <v>2406</v>
      </c>
      <c r="C365" t="s">
        <v>1535</v>
      </c>
      <c r="D365">
        <v>4259.29</v>
      </c>
      <c r="E365" s="2">
        <v>45290</v>
      </c>
    </row>
    <row r="366" spans="1:5">
      <c r="A366" t="s">
        <v>1907</v>
      </c>
      <c r="B366" t="s">
        <v>2407</v>
      </c>
      <c r="C366" t="s">
        <v>1537</v>
      </c>
      <c r="D366">
        <v>553.08000000000004</v>
      </c>
      <c r="E366" s="2">
        <v>45291</v>
      </c>
    </row>
    <row r="367" spans="1:5">
      <c r="A367" t="s">
        <v>1908</v>
      </c>
      <c r="B367" t="s">
        <v>2408</v>
      </c>
      <c r="C367" t="s">
        <v>1536</v>
      </c>
      <c r="D367">
        <v>4228.49</v>
      </c>
      <c r="E367" s="2">
        <v>45292</v>
      </c>
    </row>
    <row r="368" spans="1:5">
      <c r="A368" t="s">
        <v>1909</v>
      </c>
      <c r="B368" t="s">
        <v>2409</v>
      </c>
      <c r="C368" t="s">
        <v>1536</v>
      </c>
      <c r="D368">
        <v>3978.57</v>
      </c>
      <c r="E368" s="2">
        <v>45293</v>
      </c>
    </row>
    <row r="369" spans="1:5">
      <c r="A369" t="s">
        <v>1910</v>
      </c>
      <c r="B369" t="s">
        <v>2410</v>
      </c>
      <c r="C369" t="s">
        <v>1537</v>
      </c>
      <c r="D369">
        <v>2483.34</v>
      </c>
      <c r="E369" s="2">
        <v>45294</v>
      </c>
    </row>
    <row r="370" spans="1:5">
      <c r="A370" t="s">
        <v>1911</v>
      </c>
      <c r="B370" t="s">
        <v>2411</v>
      </c>
      <c r="C370" t="s">
        <v>1538</v>
      </c>
      <c r="D370">
        <v>1764.58</v>
      </c>
      <c r="E370" s="2">
        <v>45295</v>
      </c>
    </row>
    <row r="371" spans="1:5">
      <c r="A371" t="s">
        <v>1912</v>
      </c>
      <c r="B371" t="s">
        <v>2412</v>
      </c>
      <c r="C371" t="s">
        <v>1536</v>
      </c>
      <c r="D371">
        <v>1357.36</v>
      </c>
      <c r="E371" s="2">
        <v>45296</v>
      </c>
    </row>
    <row r="372" spans="1:5">
      <c r="A372" t="s">
        <v>1913</v>
      </c>
      <c r="B372" t="s">
        <v>2413</v>
      </c>
      <c r="C372" t="s">
        <v>1535</v>
      </c>
      <c r="D372">
        <v>3536.57</v>
      </c>
      <c r="E372" s="2">
        <v>45297</v>
      </c>
    </row>
    <row r="373" spans="1:5">
      <c r="A373" t="s">
        <v>1914</v>
      </c>
      <c r="B373" t="s">
        <v>2414</v>
      </c>
      <c r="C373" t="s">
        <v>1538</v>
      </c>
      <c r="D373">
        <v>1867.47</v>
      </c>
      <c r="E373" s="2">
        <v>45298</v>
      </c>
    </row>
    <row r="374" spans="1:5">
      <c r="A374" t="s">
        <v>1915</v>
      </c>
      <c r="B374" t="s">
        <v>2415</v>
      </c>
      <c r="C374" t="s">
        <v>1535</v>
      </c>
      <c r="D374">
        <v>4327.09</v>
      </c>
      <c r="E374" s="2">
        <v>45299</v>
      </c>
    </row>
    <row r="375" spans="1:5">
      <c r="A375" t="s">
        <v>1916</v>
      </c>
      <c r="B375" t="s">
        <v>2416</v>
      </c>
      <c r="C375" t="s">
        <v>1536</v>
      </c>
      <c r="D375">
        <v>987.9</v>
      </c>
      <c r="E375" s="2">
        <v>45300</v>
      </c>
    </row>
    <row r="376" spans="1:5">
      <c r="A376" t="s">
        <v>1917</v>
      </c>
      <c r="B376" t="s">
        <v>2417</v>
      </c>
      <c r="C376" t="s">
        <v>1535</v>
      </c>
      <c r="D376">
        <v>898.19</v>
      </c>
      <c r="E376" s="2">
        <v>45301</v>
      </c>
    </row>
    <row r="377" spans="1:5">
      <c r="A377" t="s">
        <v>1918</v>
      </c>
      <c r="B377" t="s">
        <v>2418</v>
      </c>
      <c r="C377" t="s">
        <v>1537</v>
      </c>
      <c r="D377">
        <v>3057.46</v>
      </c>
      <c r="E377" s="2">
        <v>45302</v>
      </c>
    </row>
    <row r="378" spans="1:5">
      <c r="A378" t="s">
        <v>1919</v>
      </c>
      <c r="B378" t="s">
        <v>2419</v>
      </c>
      <c r="C378" t="s">
        <v>1536</v>
      </c>
      <c r="D378">
        <v>4928.09</v>
      </c>
      <c r="E378" s="2">
        <v>45303</v>
      </c>
    </row>
    <row r="379" spans="1:5">
      <c r="A379" t="s">
        <v>1920</v>
      </c>
      <c r="B379" t="s">
        <v>2420</v>
      </c>
      <c r="C379" t="s">
        <v>1535</v>
      </c>
      <c r="D379">
        <v>4407.09</v>
      </c>
      <c r="E379" s="2">
        <v>45304</v>
      </c>
    </row>
    <row r="380" spans="1:5">
      <c r="A380" t="s">
        <v>1921</v>
      </c>
      <c r="B380" t="s">
        <v>2421</v>
      </c>
      <c r="C380" t="s">
        <v>1535</v>
      </c>
      <c r="D380">
        <v>2950.72</v>
      </c>
      <c r="E380" s="2">
        <v>45305</v>
      </c>
    </row>
    <row r="381" spans="1:5">
      <c r="A381" t="s">
        <v>1922</v>
      </c>
      <c r="B381" t="s">
        <v>2422</v>
      </c>
      <c r="C381" t="s">
        <v>1537</v>
      </c>
      <c r="D381">
        <v>2846</v>
      </c>
      <c r="E381" s="2">
        <v>45306</v>
      </c>
    </row>
    <row r="382" spans="1:5">
      <c r="A382" t="s">
        <v>1923</v>
      </c>
      <c r="B382" t="s">
        <v>2423</v>
      </c>
      <c r="C382" t="s">
        <v>1536</v>
      </c>
      <c r="D382">
        <v>4590.26</v>
      </c>
      <c r="E382" s="2">
        <v>45307</v>
      </c>
    </row>
    <row r="383" spans="1:5">
      <c r="A383" t="s">
        <v>1924</v>
      </c>
      <c r="B383" t="s">
        <v>2424</v>
      </c>
      <c r="C383" t="s">
        <v>1538</v>
      </c>
      <c r="D383">
        <v>4315.59</v>
      </c>
      <c r="E383" s="2">
        <v>45308</v>
      </c>
    </row>
    <row r="384" spans="1:5">
      <c r="A384" t="s">
        <v>1925</v>
      </c>
      <c r="B384" t="s">
        <v>2425</v>
      </c>
      <c r="C384" t="s">
        <v>1537</v>
      </c>
      <c r="D384">
        <v>4064.73</v>
      </c>
      <c r="E384" s="2">
        <v>45309</v>
      </c>
    </row>
    <row r="385" spans="1:5">
      <c r="A385" t="s">
        <v>1926</v>
      </c>
      <c r="B385" t="s">
        <v>2426</v>
      </c>
      <c r="C385" t="s">
        <v>1535</v>
      </c>
      <c r="D385">
        <v>2024.32</v>
      </c>
      <c r="E385" s="2">
        <v>45310</v>
      </c>
    </row>
    <row r="386" spans="1:5">
      <c r="A386" t="s">
        <v>1927</v>
      </c>
      <c r="B386" t="s">
        <v>2427</v>
      </c>
      <c r="C386" t="s">
        <v>1538</v>
      </c>
      <c r="D386">
        <v>2119.67</v>
      </c>
      <c r="E386" s="2">
        <v>45311</v>
      </c>
    </row>
    <row r="387" spans="1:5">
      <c r="A387" t="s">
        <v>1928</v>
      </c>
      <c r="B387" t="s">
        <v>2428</v>
      </c>
      <c r="C387" t="s">
        <v>1538</v>
      </c>
      <c r="D387">
        <v>1864.47</v>
      </c>
      <c r="E387" s="2">
        <v>45312</v>
      </c>
    </row>
    <row r="388" spans="1:5">
      <c r="A388" t="s">
        <v>1929</v>
      </c>
      <c r="B388" t="s">
        <v>2429</v>
      </c>
      <c r="C388" t="s">
        <v>1536</v>
      </c>
      <c r="D388">
        <v>152.74</v>
      </c>
      <c r="E388" s="2">
        <v>45313</v>
      </c>
    </row>
    <row r="389" spans="1:5">
      <c r="A389" t="s">
        <v>1930</v>
      </c>
      <c r="B389" t="s">
        <v>2430</v>
      </c>
      <c r="C389" t="s">
        <v>1535</v>
      </c>
      <c r="D389">
        <v>3301.48</v>
      </c>
      <c r="E389" s="2">
        <v>45314</v>
      </c>
    </row>
    <row r="390" spans="1:5">
      <c r="A390" t="s">
        <v>1931</v>
      </c>
      <c r="B390" t="s">
        <v>2431</v>
      </c>
      <c r="C390" t="s">
        <v>1535</v>
      </c>
      <c r="D390">
        <v>1063.92</v>
      </c>
      <c r="E390" s="2">
        <v>45315</v>
      </c>
    </row>
    <row r="391" spans="1:5">
      <c r="A391" t="s">
        <v>1932</v>
      </c>
      <c r="B391" t="s">
        <v>2432</v>
      </c>
      <c r="C391" t="s">
        <v>1536</v>
      </c>
      <c r="D391">
        <v>2922.23</v>
      </c>
      <c r="E391" s="2">
        <v>45316</v>
      </c>
    </row>
    <row r="392" spans="1:5">
      <c r="A392" t="s">
        <v>1933</v>
      </c>
      <c r="B392" t="s">
        <v>2433</v>
      </c>
      <c r="C392" t="s">
        <v>1535</v>
      </c>
      <c r="D392">
        <v>1461.07</v>
      </c>
      <c r="E392" s="2">
        <v>45317</v>
      </c>
    </row>
    <row r="393" spans="1:5">
      <c r="A393" t="s">
        <v>1934</v>
      </c>
      <c r="B393" t="s">
        <v>2434</v>
      </c>
      <c r="C393" t="s">
        <v>1535</v>
      </c>
      <c r="D393">
        <v>3639.24</v>
      </c>
      <c r="E393" s="2">
        <v>45318</v>
      </c>
    </row>
    <row r="394" spans="1:5">
      <c r="A394" t="s">
        <v>1935</v>
      </c>
      <c r="B394" t="s">
        <v>2435</v>
      </c>
      <c r="C394" t="s">
        <v>1535</v>
      </c>
      <c r="D394">
        <v>4782.08</v>
      </c>
      <c r="E394" s="2">
        <v>45319</v>
      </c>
    </row>
    <row r="395" spans="1:5">
      <c r="A395" t="s">
        <v>1936</v>
      </c>
      <c r="B395" t="s">
        <v>2436</v>
      </c>
      <c r="C395" t="s">
        <v>1537</v>
      </c>
      <c r="D395">
        <v>1545.49</v>
      </c>
      <c r="E395" s="2">
        <v>45320</v>
      </c>
    </row>
    <row r="396" spans="1:5">
      <c r="A396" t="s">
        <v>1937</v>
      </c>
      <c r="B396" t="s">
        <v>2437</v>
      </c>
      <c r="C396" t="s">
        <v>1535</v>
      </c>
      <c r="D396">
        <v>863.36</v>
      </c>
      <c r="E396" s="2">
        <v>45321</v>
      </c>
    </row>
    <row r="397" spans="1:5">
      <c r="A397" t="s">
        <v>1938</v>
      </c>
      <c r="B397" t="s">
        <v>2438</v>
      </c>
      <c r="C397" t="s">
        <v>1537</v>
      </c>
      <c r="D397">
        <v>4308.54</v>
      </c>
      <c r="E397" s="2">
        <v>45322</v>
      </c>
    </row>
    <row r="398" spans="1:5">
      <c r="A398" t="s">
        <v>1939</v>
      </c>
      <c r="B398" t="s">
        <v>2439</v>
      </c>
      <c r="C398" t="s">
        <v>1538</v>
      </c>
      <c r="D398">
        <v>1555.38</v>
      </c>
      <c r="E398" s="2">
        <v>45323</v>
      </c>
    </row>
    <row r="399" spans="1:5">
      <c r="A399" t="s">
        <v>1940</v>
      </c>
      <c r="B399" t="s">
        <v>2440</v>
      </c>
      <c r="C399" t="s">
        <v>1536</v>
      </c>
      <c r="D399">
        <v>350.56</v>
      </c>
      <c r="E399" s="2">
        <v>45324</v>
      </c>
    </row>
    <row r="400" spans="1:5">
      <c r="A400" t="s">
        <v>1941</v>
      </c>
      <c r="B400" t="s">
        <v>2441</v>
      </c>
      <c r="C400" t="s">
        <v>1538</v>
      </c>
      <c r="D400">
        <v>3123.31</v>
      </c>
      <c r="E400" s="2">
        <v>45325</v>
      </c>
    </row>
    <row r="401" spans="1:5">
      <c r="A401" t="s">
        <v>1942</v>
      </c>
      <c r="B401" t="s">
        <v>2442</v>
      </c>
      <c r="C401" t="s">
        <v>1535</v>
      </c>
      <c r="D401">
        <v>1926.93</v>
      </c>
      <c r="E401" s="2">
        <v>45326</v>
      </c>
    </row>
    <row r="402" spans="1:5">
      <c r="A402" t="s">
        <v>1943</v>
      </c>
      <c r="B402" t="s">
        <v>2443</v>
      </c>
      <c r="C402" t="s">
        <v>1535</v>
      </c>
      <c r="D402">
        <v>3263.77</v>
      </c>
      <c r="E402" s="2">
        <v>45327</v>
      </c>
    </row>
    <row r="403" spans="1:5">
      <c r="A403" t="s">
        <v>1944</v>
      </c>
      <c r="B403" t="s">
        <v>2444</v>
      </c>
      <c r="C403" t="s">
        <v>1536</v>
      </c>
      <c r="D403">
        <v>1149.3599999999999</v>
      </c>
      <c r="E403" s="2">
        <v>45328</v>
      </c>
    </row>
    <row r="404" spans="1:5">
      <c r="A404" t="s">
        <v>1945</v>
      </c>
      <c r="B404" t="s">
        <v>2445</v>
      </c>
      <c r="C404" t="s">
        <v>1538</v>
      </c>
      <c r="D404">
        <v>4487.66</v>
      </c>
      <c r="E404" s="2">
        <v>45329</v>
      </c>
    </row>
    <row r="405" spans="1:5">
      <c r="A405" t="s">
        <v>1946</v>
      </c>
      <c r="B405" t="s">
        <v>2446</v>
      </c>
      <c r="C405" t="s">
        <v>1538</v>
      </c>
      <c r="D405">
        <v>3573.96</v>
      </c>
      <c r="E405" s="2">
        <v>45330</v>
      </c>
    </row>
    <row r="406" spans="1:5">
      <c r="A406" t="s">
        <v>1947</v>
      </c>
      <c r="B406" t="s">
        <v>2447</v>
      </c>
      <c r="C406" t="s">
        <v>1537</v>
      </c>
      <c r="D406">
        <v>3670.83</v>
      </c>
      <c r="E406" s="2">
        <v>45331</v>
      </c>
    </row>
    <row r="407" spans="1:5">
      <c r="A407" t="s">
        <v>1948</v>
      </c>
      <c r="B407" t="s">
        <v>2448</v>
      </c>
      <c r="C407" t="s">
        <v>1538</v>
      </c>
      <c r="D407">
        <v>4140.1000000000004</v>
      </c>
      <c r="E407" s="2">
        <v>45332</v>
      </c>
    </row>
    <row r="408" spans="1:5">
      <c r="A408" t="s">
        <v>1949</v>
      </c>
      <c r="B408" t="s">
        <v>2449</v>
      </c>
      <c r="C408" t="s">
        <v>1537</v>
      </c>
      <c r="D408">
        <v>283.77999999999997</v>
      </c>
      <c r="E408" s="2">
        <v>45333</v>
      </c>
    </row>
    <row r="409" spans="1:5">
      <c r="A409" t="s">
        <v>1950</v>
      </c>
      <c r="B409" t="s">
        <v>2450</v>
      </c>
      <c r="C409" t="s">
        <v>1536</v>
      </c>
      <c r="D409">
        <v>4198.08</v>
      </c>
      <c r="E409" s="2">
        <v>45334</v>
      </c>
    </row>
    <row r="410" spans="1:5">
      <c r="A410" t="s">
        <v>1951</v>
      </c>
      <c r="B410" t="s">
        <v>2451</v>
      </c>
      <c r="C410" t="s">
        <v>1538</v>
      </c>
      <c r="D410">
        <v>4325.4399999999996</v>
      </c>
      <c r="E410" s="2">
        <v>45335</v>
      </c>
    </row>
    <row r="411" spans="1:5">
      <c r="A411" t="s">
        <v>1952</v>
      </c>
      <c r="B411" t="s">
        <v>2452</v>
      </c>
      <c r="C411" t="s">
        <v>1536</v>
      </c>
      <c r="D411">
        <v>2012.02</v>
      </c>
      <c r="E411" s="2">
        <v>45336</v>
      </c>
    </row>
    <row r="412" spans="1:5">
      <c r="A412" t="s">
        <v>1953</v>
      </c>
      <c r="B412" t="s">
        <v>2453</v>
      </c>
      <c r="C412" t="s">
        <v>1538</v>
      </c>
      <c r="D412">
        <v>1782.31</v>
      </c>
      <c r="E412" s="2">
        <v>45337</v>
      </c>
    </row>
    <row r="413" spans="1:5">
      <c r="A413" t="s">
        <v>1954</v>
      </c>
      <c r="B413" t="s">
        <v>2454</v>
      </c>
      <c r="C413" t="s">
        <v>1535</v>
      </c>
      <c r="D413">
        <v>4334.3900000000003</v>
      </c>
      <c r="E413" s="2">
        <v>45338</v>
      </c>
    </row>
    <row r="414" spans="1:5">
      <c r="A414" t="s">
        <v>1955</v>
      </c>
      <c r="B414" t="s">
        <v>2455</v>
      </c>
      <c r="C414" t="s">
        <v>1537</v>
      </c>
      <c r="D414">
        <v>4282.45</v>
      </c>
      <c r="E414" s="2">
        <v>45339</v>
      </c>
    </row>
    <row r="415" spans="1:5">
      <c r="A415" t="s">
        <v>1956</v>
      </c>
      <c r="B415" t="s">
        <v>2456</v>
      </c>
      <c r="C415" t="s">
        <v>1537</v>
      </c>
      <c r="D415">
        <v>4533.54</v>
      </c>
      <c r="E415" s="2">
        <v>45340</v>
      </c>
    </row>
    <row r="416" spans="1:5">
      <c r="A416" t="s">
        <v>1957</v>
      </c>
      <c r="B416" t="s">
        <v>2457</v>
      </c>
      <c r="C416" t="s">
        <v>1535</v>
      </c>
      <c r="D416">
        <v>1337.96</v>
      </c>
      <c r="E416" s="2">
        <v>45341</v>
      </c>
    </row>
    <row r="417" spans="1:5">
      <c r="A417" t="s">
        <v>1958</v>
      </c>
      <c r="B417" t="s">
        <v>2458</v>
      </c>
      <c r="C417" t="s">
        <v>1538</v>
      </c>
      <c r="D417">
        <v>817.75</v>
      </c>
      <c r="E417" s="2">
        <v>45342</v>
      </c>
    </row>
    <row r="418" spans="1:5">
      <c r="A418" t="s">
        <v>1959</v>
      </c>
      <c r="B418" t="s">
        <v>2459</v>
      </c>
      <c r="C418" t="s">
        <v>1535</v>
      </c>
      <c r="D418">
        <v>3104.07</v>
      </c>
      <c r="E418" s="2">
        <v>45343</v>
      </c>
    </row>
    <row r="419" spans="1:5">
      <c r="A419" t="s">
        <v>1960</v>
      </c>
      <c r="B419" t="s">
        <v>2460</v>
      </c>
      <c r="C419" t="s">
        <v>1536</v>
      </c>
      <c r="D419">
        <v>935.61</v>
      </c>
      <c r="E419" s="2">
        <v>45344</v>
      </c>
    </row>
    <row r="420" spans="1:5">
      <c r="A420" t="s">
        <v>1961</v>
      </c>
      <c r="B420" t="s">
        <v>2461</v>
      </c>
      <c r="C420" t="s">
        <v>1535</v>
      </c>
      <c r="D420">
        <v>383.23</v>
      </c>
      <c r="E420" s="2">
        <v>45345</v>
      </c>
    </row>
    <row r="421" spans="1:5">
      <c r="A421" t="s">
        <v>1962</v>
      </c>
      <c r="B421" t="s">
        <v>2462</v>
      </c>
      <c r="C421" t="s">
        <v>1537</v>
      </c>
      <c r="D421">
        <v>4847.67</v>
      </c>
      <c r="E421" s="2">
        <v>45346</v>
      </c>
    </row>
    <row r="422" spans="1:5">
      <c r="A422" t="s">
        <v>1963</v>
      </c>
      <c r="B422" t="s">
        <v>2463</v>
      </c>
      <c r="C422" t="s">
        <v>1537</v>
      </c>
      <c r="D422">
        <v>3272.54</v>
      </c>
      <c r="E422" s="2">
        <v>45347</v>
      </c>
    </row>
    <row r="423" spans="1:5">
      <c r="A423" t="s">
        <v>1964</v>
      </c>
      <c r="B423" t="s">
        <v>2464</v>
      </c>
      <c r="C423" t="s">
        <v>1537</v>
      </c>
      <c r="D423">
        <v>284.24</v>
      </c>
      <c r="E423" s="2">
        <v>45348</v>
      </c>
    </row>
    <row r="424" spans="1:5">
      <c r="A424" t="s">
        <v>1965</v>
      </c>
      <c r="B424" t="s">
        <v>2465</v>
      </c>
      <c r="C424" t="s">
        <v>1536</v>
      </c>
      <c r="D424">
        <v>1500.04</v>
      </c>
      <c r="E424" s="2">
        <v>45349</v>
      </c>
    </row>
    <row r="425" spans="1:5">
      <c r="A425" t="s">
        <v>1966</v>
      </c>
      <c r="B425" t="s">
        <v>2466</v>
      </c>
      <c r="C425" t="s">
        <v>1537</v>
      </c>
      <c r="D425">
        <v>720.22</v>
      </c>
      <c r="E425" s="2">
        <v>45350</v>
      </c>
    </row>
    <row r="426" spans="1:5">
      <c r="A426" t="s">
        <v>1967</v>
      </c>
      <c r="B426" t="s">
        <v>2467</v>
      </c>
      <c r="C426" t="s">
        <v>1537</v>
      </c>
      <c r="D426">
        <v>689.92</v>
      </c>
      <c r="E426" s="2">
        <v>45351</v>
      </c>
    </row>
    <row r="427" spans="1:5">
      <c r="A427" t="s">
        <v>1968</v>
      </c>
      <c r="B427" t="s">
        <v>2468</v>
      </c>
      <c r="C427" t="s">
        <v>1535</v>
      </c>
      <c r="D427">
        <v>2117.86</v>
      </c>
      <c r="E427" s="2">
        <v>45352</v>
      </c>
    </row>
    <row r="428" spans="1:5">
      <c r="A428" t="s">
        <v>1969</v>
      </c>
      <c r="B428" t="s">
        <v>2469</v>
      </c>
      <c r="C428" t="s">
        <v>1538</v>
      </c>
      <c r="D428">
        <v>394.81</v>
      </c>
      <c r="E428" s="2">
        <v>45353</v>
      </c>
    </row>
    <row r="429" spans="1:5">
      <c r="A429" t="s">
        <v>1970</v>
      </c>
      <c r="B429" t="s">
        <v>2470</v>
      </c>
      <c r="C429" t="s">
        <v>1535</v>
      </c>
      <c r="D429">
        <v>4179.6899999999996</v>
      </c>
      <c r="E429" s="2">
        <v>45354</v>
      </c>
    </row>
    <row r="430" spans="1:5">
      <c r="A430" t="s">
        <v>1971</v>
      </c>
      <c r="B430" t="s">
        <v>2471</v>
      </c>
      <c r="C430" t="s">
        <v>1537</v>
      </c>
      <c r="D430">
        <v>3219.96</v>
      </c>
      <c r="E430" s="2">
        <v>45355</v>
      </c>
    </row>
    <row r="431" spans="1:5">
      <c r="A431" t="s">
        <v>1972</v>
      </c>
      <c r="B431" t="s">
        <v>2472</v>
      </c>
      <c r="C431" t="s">
        <v>1538</v>
      </c>
      <c r="D431">
        <v>3436.69</v>
      </c>
      <c r="E431" s="2">
        <v>45356</v>
      </c>
    </row>
    <row r="432" spans="1:5">
      <c r="A432" t="s">
        <v>1973</v>
      </c>
      <c r="B432" t="s">
        <v>2473</v>
      </c>
      <c r="C432" t="s">
        <v>1536</v>
      </c>
      <c r="D432">
        <v>3939.8</v>
      </c>
      <c r="E432" s="2">
        <v>45357</v>
      </c>
    </row>
    <row r="433" spans="1:5">
      <c r="A433" t="s">
        <v>1974</v>
      </c>
      <c r="B433" t="s">
        <v>2474</v>
      </c>
      <c r="C433" t="s">
        <v>1535</v>
      </c>
      <c r="D433">
        <v>1301.3499999999999</v>
      </c>
      <c r="E433" s="2">
        <v>45358</v>
      </c>
    </row>
    <row r="434" spans="1:5">
      <c r="A434" t="s">
        <v>1975</v>
      </c>
      <c r="B434" t="s">
        <v>2475</v>
      </c>
      <c r="C434" t="s">
        <v>1537</v>
      </c>
      <c r="D434">
        <v>1728.5</v>
      </c>
      <c r="E434" s="2">
        <v>45359</v>
      </c>
    </row>
    <row r="435" spans="1:5">
      <c r="A435" t="s">
        <v>1976</v>
      </c>
      <c r="B435" t="s">
        <v>2476</v>
      </c>
      <c r="C435" t="s">
        <v>1538</v>
      </c>
      <c r="D435">
        <v>700.71</v>
      </c>
      <c r="E435" s="2">
        <v>45360</v>
      </c>
    </row>
    <row r="436" spans="1:5">
      <c r="A436" t="s">
        <v>1977</v>
      </c>
      <c r="B436" t="s">
        <v>2477</v>
      </c>
      <c r="C436" t="s">
        <v>1538</v>
      </c>
      <c r="D436">
        <v>4996.37</v>
      </c>
      <c r="E436" s="2">
        <v>45361</v>
      </c>
    </row>
    <row r="437" spans="1:5">
      <c r="A437" t="s">
        <v>1978</v>
      </c>
      <c r="B437" t="s">
        <v>2478</v>
      </c>
      <c r="C437" t="s">
        <v>1538</v>
      </c>
      <c r="D437">
        <v>4302.55</v>
      </c>
      <c r="E437" s="2">
        <v>45362</v>
      </c>
    </row>
    <row r="438" spans="1:5">
      <c r="A438" t="s">
        <v>1979</v>
      </c>
      <c r="B438" t="s">
        <v>2479</v>
      </c>
      <c r="C438" t="s">
        <v>1535</v>
      </c>
      <c r="D438">
        <v>1467.75</v>
      </c>
      <c r="E438" s="2">
        <v>45363</v>
      </c>
    </row>
    <row r="439" spans="1:5">
      <c r="A439" t="s">
        <v>1980</v>
      </c>
      <c r="B439" t="s">
        <v>2480</v>
      </c>
      <c r="C439" t="s">
        <v>1538</v>
      </c>
      <c r="D439">
        <v>1870.83</v>
      </c>
      <c r="E439" s="2">
        <v>45364</v>
      </c>
    </row>
    <row r="440" spans="1:5">
      <c r="A440" t="s">
        <v>1981</v>
      </c>
      <c r="B440" t="s">
        <v>2481</v>
      </c>
      <c r="C440" t="s">
        <v>1538</v>
      </c>
      <c r="D440">
        <v>2069.31</v>
      </c>
      <c r="E440" s="2">
        <v>45365</v>
      </c>
    </row>
    <row r="441" spans="1:5">
      <c r="A441" t="s">
        <v>1982</v>
      </c>
      <c r="B441" t="s">
        <v>2482</v>
      </c>
      <c r="C441" t="s">
        <v>1535</v>
      </c>
      <c r="D441">
        <v>621.16</v>
      </c>
      <c r="E441" s="2">
        <v>45366</v>
      </c>
    </row>
    <row r="442" spans="1:5">
      <c r="A442" t="s">
        <v>1983</v>
      </c>
      <c r="B442" t="s">
        <v>2483</v>
      </c>
      <c r="C442" t="s">
        <v>1536</v>
      </c>
      <c r="D442">
        <v>644.97</v>
      </c>
      <c r="E442" s="2">
        <v>45367</v>
      </c>
    </row>
    <row r="443" spans="1:5">
      <c r="A443" t="s">
        <v>1984</v>
      </c>
      <c r="B443" t="s">
        <v>2484</v>
      </c>
      <c r="C443" t="s">
        <v>1536</v>
      </c>
      <c r="D443">
        <v>4235.1000000000004</v>
      </c>
      <c r="E443" s="2">
        <v>45368</v>
      </c>
    </row>
    <row r="444" spans="1:5">
      <c r="A444" t="s">
        <v>1985</v>
      </c>
      <c r="B444" t="s">
        <v>2485</v>
      </c>
      <c r="C444" t="s">
        <v>1537</v>
      </c>
      <c r="D444">
        <v>3213.48</v>
      </c>
      <c r="E444" s="2">
        <v>45369</v>
      </c>
    </row>
    <row r="445" spans="1:5">
      <c r="A445" t="s">
        <v>1986</v>
      </c>
      <c r="B445" t="s">
        <v>2486</v>
      </c>
      <c r="C445" t="s">
        <v>1537</v>
      </c>
      <c r="D445">
        <v>4900.74</v>
      </c>
      <c r="E445" s="2">
        <v>45370</v>
      </c>
    </row>
    <row r="446" spans="1:5">
      <c r="A446" t="s">
        <v>1987</v>
      </c>
      <c r="B446" t="s">
        <v>2487</v>
      </c>
      <c r="C446" t="s">
        <v>1537</v>
      </c>
      <c r="D446">
        <v>3028.98</v>
      </c>
      <c r="E446" s="2">
        <v>45371</v>
      </c>
    </row>
    <row r="447" spans="1:5">
      <c r="A447" t="s">
        <v>1988</v>
      </c>
      <c r="B447" t="s">
        <v>2488</v>
      </c>
      <c r="C447" t="s">
        <v>1538</v>
      </c>
      <c r="D447">
        <v>406.03</v>
      </c>
      <c r="E447" s="2">
        <v>45372</v>
      </c>
    </row>
    <row r="448" spans="1:5">
      <c r="A448" t="s">
        <v>1989</v>
      </c>
      <c r="B448" t="s">
        <v>2489</v>
      </c>
      <c r="C448" t="s">
        <v>1538</v>
      </c>
      <c r="D448">
        <v>1282.8</v>
      </c>
      <c r="E448" s="2">
        <v>45373</v>
      </c>
    </row>
    <row r="449" spans="1:5">
      <c r="A449" t="s">
        <v>1990</v>
      </c>
      <c r="B449" t="s">
        <v>2490</v>
      </c>
      <c r="C449" t="s">
        <v>1535</v>
      </c>
      <c r="D449">
        <v>280.52999999999997</v>
      </c>
      <c r="E449" s="2">
        <v>45374</v>
      </c>
    </row>
    <row r="450" spans="1:5">
      <c r="A450" t="s">
        <v>1991</v>
      </c>
      <c r="B450" t="s">
        <v>2491</v>
      </c>
      <c r="C450" t="s">
        <v>1538</v>
      </c>
      <c r="D450">
        <v>162.61000000000001</v>
      </c>
      <c r="E450" s="2">
        <v>45375</v>
      </c>
    </row>
    <row r="451" spans="1:5">
      <c r="A451" t="s">
        <v>1992</v>
      </c>
      <c r="B451" t="s">
        <v>2492</v>
      </c>
      <c r="C451" t="s">
        <v>1536</v>
      </c>
      <c r="D451">
        <v>3859.09</v>
      </c>
      <c r="E451" s="2">
        <v>45376</v>
      </c>
    </row>
    <row r="452" spans="1:5">
      <c r="A452" t="s">
        <v>1993</v>
      </c>
      <c r="B452" t="s">
        <v>2493</v>
      </c>
      <c r="C452" t="s">
        <v>1536</v>
      </c>
      <c r="D452">
        <v>2566.89</v>
      </c>
      <c r="E452" s="2">
        <v>45377</v>
      </c>
    </row>
    <row r="453" spans="1:5">
      <c r="A453" t="s">
        <v>1994</v>
      </c>
      <c r="B453" t="s">
        <v>2494</v>
      </c>
      <c r="C453" t="s">
        <v>1536</v>
      </c>
      <c r="D453">
        <v>2414.5300000000002</v>
      </c>
      <c r="E453" s="2">
        <v>45378</v>
      </c>
    </row>
    <row r="454" spans="1:5">
      <c r="A454" t="s">
        <v>1995</v>
      </c>
      <c r="B454" t="s">
        <v>2495</v>
      </c>
      <c r="C454" t="s">
        <v>1535</v>
      </c>
      <c r="D454">
        <v>1469.43</v>
      </c>
      <c r="E454" s="2">
        <v>45379</v>
      </c>
    </row>
    <row r="455" spans="1:5">
      <c r="A455" t="s">
        <v>1996</v>
      </c>
      <c r="B455" t="s">
        <v>2496</v>
      </c>
      <c r="C455" t="s">
        <v>1538</v>
      </c>
      <c r="D455">
        <v>453.35</v>
      </c>
      <c r="E455" s="2">
        <v>45380</v>
      </c>
    </row>
    <row r="456" spans="1:5">
      <c r="A456" t="s">
        <v>1997</v>
      </c>
      <c r="B456" t="s">
        <v>2497</v>
      </c>
      <c r="C456" t="s">
        <v>1537</v>
      </c>
      <c r="D456">
        <v>4916.3500000000004</v>
      </c>
      <c r="E456" s="2">
        <v>45381</v>
      </c>
    </row>
    <row r="457" spans="1:5">
      <c r="A457" t="s">
        <v>1998</v>
      </c>
      <c r="B457" t="s">
        <v>2498</v>
      </c>
      <c r="C457" t="s">
        <v>1538</v>
      </c>
      <c r="D457">
        <v>2651.64</v>
      </c>
      <c r="E457" s="2">
        <v>45382</v>
      </c>
    </row>
    <row r="458" spans="1:5">
      <c r="A458" t="s">
        <v>1999</v>
      </c>
      <c r="B458" t="s">
        <v>2499</v>
      </c>
      <c r="C458" t="s">
        <v>1537</v>
      </c>
      <c r="D458">
        <v>559.26</v>
      </c>
      <c r="E458" s="2">
        <v>45383</v>
      </c>
    </row>
    <row r="459" spans="1:5">
      <c r="A459" t="s">
        <v>2000</v>
      </c>
      <c r="B459" t="s">
        <v>2500</v>
      </c>
      <c r="C459" t="s">
        <v>1536</v>
      </c>
      <c r="D459">
        <v>430.27</v>
      </c>
      <c r="E459" s="2">
        <v>45384</v>
      </c>
    </row>
    <row r="460" spans="1:5">
      <c r="A460" t="s">
        <v>2001</v>
      </c>
      <c r="B460" t="s">
        <v>2501</v>
      </c>
      <c r="C460" t="s">
        <v>1536</v>
      </c>
      <c r="D460">
        <v>1959.23</v>
      </c>
      <c r="E460" s="2">
        <v>45385</v>
      </c>
    </row>
    <row r="461" spans="1:5">
      <c r="A461" t="s">
        <v>2002</v>
      </c>
      <c r="B461" t="s">
        <v>2502</v>
      </c>
      <c r="C461" t="s">
        <v>1535</v>
      </c>
      <c r="D461">
        <v>2710.68</v>
      </c>
      <c r="E461" s="2">
        <v>45386</v>
      </c>
    </row>
    <row r="462" spans="1:5">
      <c r="A462" t="s">
        <v>2003</v>
      </c>
      <c r="B462" t="s">
        <v>2503</v>
      </c>
      <c r="C462" t="s">
        <v>1537</v>
      </c>
      <c r="D462">
        <v>4626.92</v>
      </c>
      <c r="E462" s="2">
        <v>45387</v>
      </c>
    </row>
    <row r="463" spans="1:5">
      <c r="A463" t="s">
        <v>2004</v>
      </c>
      <c r="B463" t="s">
        <v>2504</v>
      </c>
      <c r="C463" t="s">
        <v>1536</v>
      </c>
      <c r="D463">
        <v>2812.5</v>
      </c>
      <c r="E463" s="2">
        <v>45388</v>
      </c>
    </row>
    <row r="464" spans="1:5">
      <c r="A464" t="s">
        <v>2005</v>
      </c>
      <c r="B464" t="s">
        <v>2505</v>
      </c>
      <c r="C464" t="s">
        <v>1538</v>
      </c>
      <c r="D464">
        <v>4531.74</v>
      </c>
      <c r="E464" s="2">
        <v>45389</v>
      </c>
    </row>
    <row r="465" spans="1:5">
      <c r="A465" t="s">
        <v>2006</v>
      </c>
      <c r="B465" t="s">
        <v>2506</v>
      </c>
      <c r="C465" t="s">
        <v>1535</v>
      </c>
      <c r="D465">
        <v>3699.65</v>
      </c>
      <c r="E465" s="2">
        <v>45390</v>
      </c>
    </row>
    <row r="466" spans="1:5">
      <c r="A466" t="s">
        <v>2007</v>
      </c>
      <c r="B466" t="s">
        <v>2507</v>
      </c>
      <c r="C466" t="s">
        <v>1536</v>
      </c>
      <c r="D466">
        <v>4921</v>
      </c>
      <c r="E466" s="2">
        <v>45391</v>
      </c>
    </row>
    <row r="467" spans="1:5">
      <c r="A467" t="s">
        <v>2008</v>
      </c>
      <c r="B467" t="s">
        <v>2508</v>
      </c>
      <c r="C467" t="s">
        <v>1535</v>
      </c>
      <c r="D467">
        <v>3988.27</v>
      </c>
      <c r="E467" s="2">
        <v>45392</v>
      </c>
    </row>
    <row r="468" spans="1:5">
      <c r="A468" t="s">
        <v>2009</v>
      </c>
      <c r="B468" t="s">
        <v>2509</v>
      </c>
      <c r="C468" t="s">
        <v>1537</v>
      </c>
      <c r="D468">
        <v>2621.13</v>
      </c>
      <c r="E468" s="2">
        <v>45393</v>
      </c>
    </row>
    <row r="469" spans="1:5">
      <c r="A469" t="s">
        <v>2010</v>
      </c>
      <c r="B469" t="s">
        <v>2510</v>
      </c>
      <c r="C469" t="s">
        <v>1535</v>
      </c>
      <c r="D469">
        <v>4273.26</v>
      </c>
      <c r="E469" s="2">
        <v>45394</v>
      </c>
    </row>
    <row r="470" spans="1:5">
      <c r="A470" t="s">
        <v>2011</v>
      </c>
      <c r="B470" t="s">
        <v>2511</v>
      </c>
      <c r="C470" t="s">
        <v>1537</v>
      </c>
      <c r="D470">
        <v>261.64999999999998</v>
      </c>
      <c r="E470" s="2">
        <v>45395</v>
      </c>
    </row>
    <row r="471" spans="1:5">
      <c r="A471" t="s">
        <v>2012</v>
      </c>
      <c r="B471" t="s">
        <v>2512</v>
      </c>
      <c r="C471" t="s">
        <v>1537</v>
      </c>
      <c r="D471">
        <v>855.73</v>
      </c>
      <c r="E471" s="2">
        <v>45396</v>
      </c>
    </row>
    <row r="472" spans="1:5">
      <c r="A472" t="s">
        <v>2013</v>
      </c>
      <c r="B472" t="s">
        <v>2513</v>
      </c>
      <c r="C472" t="s">
        <v>1535</v>
      </c>
      <c r="D472">
        <v>137.15</v>
      </c>
      <c r="E472" s="2">
        <v>45397</v>
      </c>
    </row>
    <row r="473" spans="1:5">
      <c r="A473" t="s">
        <v>2014</v>
      </c>
      <c r="B473" t="s">
        <v>2514</v>
      </c>
      <c r="C473" t="s">
        <v>1536</v>
      </c>
      <c r="D473">
        <v>2052.7600000000002</v>
      </c>
      <c r="E473" s="2">
        <v>45398</v>
      </c>
    </row>
    <row r="474" spans="1:5">
      <c r="A474" t="s">
        <v>2015</v>
      </c>
      <c r="B474" t="s">
        <v>2515</v>
      </c>
      <c r="C474" t="s">
        <v>1536</v>
      </c>
      <c r="D474">
        <v>3220.15</v>
      </c>
      <c r="E474" s="2">
        <v>45399</v>
      </c>
    </row>
    <row r="475" spans="1:5">
      <c r="A475" t="s">
        <v>2016</v>
      </c>
      <c r="B475" t="s">
        <v>2516</v>
      </c>
      <c r="C475" t="s">
        <v>1536</v>
      </c>
      <c r="D475">
        <v>447.61</v>
      </c>
      <c r="E475" s="2">
        <v>45400</v>
      </c>
    </row>
    <row r="476" spans="1:5">
      <c r="A476" t="s">
        <v>2017</v>
      </c>
      <c r="B476" t="s">
        <v>2517</v>
      </c>
      <c r="C476" t="s">
        <v>1535</v>
      </c>
      <c r="D476">
        <v>1332.34</v>
      </c>
      <c r="E476" s="2">
        <v>45401</v>
      </c>
    </row>
    <row r="477" spans="1:5">
      <c r="A477" t="s">
        <v>2018</v>
      </c>
      <c r="B477" t="s">
        <v>2518</v>
      </c>
      <c r="C477" t="s">
        <v>1537</v>
      </c>
      <c r="D477">
        <v>847.99</v>
      </c>
      <c r="E477" s="2">
        <v>45402</v>
      </c>
    </row>
    <row r="478" spans="1:5">
      <c r="A478" t="s">
        <v>2019</v>
      </c>
      <c r="B478" t="s">
        <v>2519</v>
      </c>
      <c r="C478" t="s">
        <v>1536</v>
      </c>
      <c r="D478">
        <v>4366.6000000000004</v>
      </c>
      <c r="E478" s="2">
        <v>45403</v>
      </c>
    </row>
    <row r="479" spans="1:5">
      <c r="A479" t="s">
        <v>2020</v>
      </c>
      <c r="B479" t="s">
        <v>2520</v>
      </c>
      <c r="C479" t="s">
        <v>1537</v>
      </c>
      <c r="D479">
        <v>4797.08</v>
      </c>
      <c r="E479" s="2">
        <v>45404</v>
      </c>
    </row>
    <row r="480" spans="1:5">
      <c r="A480" t="s">
        <v>2021</v>
      </c>
      <c r="B480" t="s">
        <v>2521</v>
      </c>
      <c r="C480" t="s">
        <v>1538</v>
      </c>
      <c r="D480">
        <v>190.27</v>
      </c>
      <c r="E480" s="2">
        <v>45405</v>
      </c>
    </row>
    <row r="481" spans="1:5">
      <c r="A481" t="s">
        <v>2022</v>
      </c>
      <c r="B481" t="s">
        <v>2522</v>
      </c>
      <c r="C481" t="s">
        <v>1538</v>
      </c>
      <c r="D481">
        <v>3173.51</v>
      </c>
      <c r="E481" s="2">
        <v>45406</v>
      </c>
    </row>
    <row r="482" spans="1:5">
      <c r="A482" t="s">
        <v>2023</v>
      </c>
      <c r="B482" t="s">
        <v>2523</v>
      </c>
      <c r="C482" t="s">
        <v>1537</v>
      </c>
      <c r="D482">
        <v>4416.67</v>
      </c>
      <c r="E482" s="2">
        <v>45407</v>
      </c>
    </row>
    <row r="483" spans="1:5">
      <c r="A483" t="s">
        <v>2024</v>
      </c>
      <c r="B483" t="s">
        <v>2524</v>
      </c>
      <c r="C483" t="s">
        <v>1536</v>
      </c>
      <c r="D483">
        <v>2920.69</v>
      </c>
      <c r="E483" s="2">
        <v>45408</v>
      </c>
    </row>
    <row r="484" spans="1:5">
      <c r="A484" t="s">
        <v>2025</v>
      </c>
      <c r="B484" t="s">
        <v>2525</v>
      </c>
      <c r="C484" t="s">
        <v>1535</v>
      </c>
      <c r="D484">
        <v>117.14</v>
      </c>
      <c r="E484" s="2">
        <v>45409</v>
      </c>
    </row>
    <row r="485" spans="1:5">
      <c r="A485" t="s">
        <v>2026</v>
      </c>
      <c r="B485" t="s">
        <v>2526</v>
      </c>
      <c r="C485" t="s">
        <v>1538</v>
      </c>
      <c r="D485">
        <v>3294.95</v>
      </c>
      <c r="E485" s="2">
        <v>45410</v>
      </c>
    </row>
    <row r="486" spans="1:5">
      <c r="A486" t="s">
        <v>2027</v>
      </c>
      <c r="B486" t="s">
        <v>2527</v>
      </c>
      <c r="C486" t="s">
        <v>1535</v>
      </c>
      <c r="D486">
        <v>2644.89</v>
      </c>
      <c r="E486" s="2">
        <v>45411</v>
      </c>
    </row>
    <row r="487" spans="1:5">
      <c r="A487" t="s">
        <v>2028</v>
      </c>
      <c r="B487" t="s">
        <v>2528</v>
      </c>
      <c r="C487" t="s">
        <v>1537</v>
      </c>
      <c r="D487">
        <v>205.48</v>
      </c>
      <c r="E487" s="2">
        <v>45412</v>
      </c>
    </row>
    <row r="488" spans="1:5">
      <c r="A488" t="s">
        <v>2029</v>
      </c>
      <c r="B488" t="s">
        <v>2529</v>
      </c>
      <c r="C488" t="s">
        <v>1536</v>
      </c>
      <c r="D488">
        <v>3598.88</v>
      </c>
      <c r="E488" s="2">
        <v>45413</v>
      </c>
    </row>
    <row r="489" spans="1:5">
      <c r="A489" t="s">
        <v>2030</v>
      </c>
      <c r="B489" t="s">
        <v>2530</v>
      </c>
      <c r="C489" t="s">
        <v>1536</v>
      </c>
      <c r="D489">
        <v>4844.43</v>
      </c>
      <c r="E489" s="2">
        <v>45414</v>
      </c>
    </row>
    <row r="490" spans="1:5">
      <c r="A490" t="s">
        <v>2031</v>
      </c>
      <c r="B490" t="s">
        <v>2531</v>
      </c>
      <c r="C490" t="s">
        <v>1536</v>
      </c>
      <c r="D490">
        <v>1297.58</v>
      </c>
      <c r="E490" s="2">
        <v>45415</v>
      </c>
    </row>
    <row r="491" spans="1:5">
      <c r="A491" t="s">
        <v>2032</v>
      </c>
      <c r="B491" t="s">
        <v>2532</v>
      </c>
      <c r="C491" t="s">
        <v>1538</v>
      </c>
      <c r="D491">
        <v>1206.92</v>
      </c>
      <c r="E491" s="2">
        <v>45416</v>
      </c>
    </row>
    <row r="492" spans="1:5">
      <c r="A492" t="s">
        <v>2033</v>
      </c>
      <c r="B492" t="s">
        <v>2533</v>
      </c>
      <c r="C492" t="s">
        <v>1537</v>
      </c>
      <c r="D492">
        <v>4581.58</v>
      </c>
      <c r="E492" s="2">
        <v>45417</v>
      </c>
    </row>
    <row r="493" spans="1:5">
      <c r="A493" t="s">
        <v>2034</v>
      </c>
      <c r="B493" t="s">
        <v>2534</v>
      </c>
      <c r="C493" t="s">
        <v>1537</v>
      </c>
      <c r="D493">
        <v>2252.42</v>
      </c>
      <c r="E493" s="2">
        <v>45418</v>
      </c>
    </row>
    <row r="494" spans="1:5">
      <c r="A494" t="s">
        <v>2035</v>
      </c>
      <c r="B494" t="s">
        <v>2535</v>
      </c>
      <c r="C494" t="s">
        <v>1537</v>
      </c>
      <c r="D494">
        <v>3192.79</v>
      </c>
      <c r="E494" s="2">
        <v>45419</v>
      </c>
    </row>
    <row r="495" spans="1:5">
      <c r="A495" t="s">
        <v>2036</v>
      </c>
      <c r="B495" t="s">
        <v>2536</v>
      </c>
      <c r="C495" t="s">
        <v>1537</v>
      </c>
      <c r="D495">
        <v>1107.45</v>
      </c>
      <c r="E495" s="2">
        <v>45420</v>
      </c>
    </row>
    <row r="496" spans="1:5">
      <c r="A496" t="s">
        <v>2037</v>
      </c>
      <c r="B496" t="s">
        <v>2537</v>
      </c>
      <c r="C496" t="s">
        <v>1538</v>
      </c>
      <c r="D496">
        <v>1704.51</v>
      </c>
      <c r="E496" s="2">
        <v>45421</v>
      </c>
    </row>
    <row r="497" spans="1:5">
      <c r="A497" t="s">
        <v>2038</v>
      </c>
      <c r="B497" t="s">
        <v>2538</v>
      </c>
      <c r="C497" t="s">
        <v>1538</v>
      </c>
      <c r="D497">
        <v>801.96</v>
      </c>
      <c r="E497" s="2">
        <v>45422</v>
      </c>
    </row>
    <row r="498" spans="1:5">
      <c r="A498" t="s">
        <v>2039</v>
      </c>
      <c r="B498" t="s">
        <v>2539</v>
      </c>
      <c r="C498" t="s">
        <v>1537</v>
      </c>
      <c r="D498">
        <v>4315.49</v>
      </c>
      <c r="E498" s="2">
        <v>45423</v>
      </c>
    </row>
    <row r="499" spans="1:5">
      <c r="A499" t="s">
        <v>2040</v>
      </c>
      <c r="B499" t="s">
        <v>2540</v>
      </c>
      <c r="C499" t="s">
        <v>1537</v>
      </c>
      <c r="D499">
        <v>921.53</v>
      </c>
      <c r="E499" s="2">
        <v>45424</v>
      </c>
    </row>
    <row r="500" spans="1:5">
      <c r="A500" t="s">
        <v>2041</v>
      </c>
      <c r="B500" t="s">
        <v>2541</v>
      </c>
      <c r="C500" t="s">
        <v>1538</v>
      </c>
      <c r="D500">
        <v>3301.4</v>
      </c>
      <c r="E500" s="2">
        <v>45425</v>
      </c>
    </row>
    <row r="501" spans="1:5">
      <c r="A501" t="s">
        <v>2042</v>
      </c>
      <c r="B501" t="s">
        <v>2542</v>
      </c>
      <c r="C501" t="s">
        <v>1537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>
      <c r="A1" s="1" t="s">
        <v>2543</v>
      </c>
      <c r="B1" s="1" t="s">
        <v>2544</v>
      </c>
      <c r="C1" s="1" t="s">
        <v>2545</v>
      </c>
      <c r="D1" s="1" t="s">
        <v>2546</v>
      </c>
      <c r="E1" s="1" t="s">
        <v>2547</v>
      </c>
    </row>
    <row r="2" spans="1:5">
      <c r="A2" t="s">
        <v>2548</v>
      </c>
      <c r="B2" t="s">
        <v>2553</v>
      </c>
      <c r="C2">
        <v>928742</v>
      </c>
      <c r="D2">
        <v>33.9</v>
      </c>
      <c r="E2">
        <v>33106</v>
      </c>
    </row>
    <row r="3" spans="1:5">
      <c r="A3" t="s">
        <v>2549</v>
      </c>
      <c r="B3" t="s">
        <v>2554</v>
      </c>
      <c r="C3">
        <v>792410</v>
      </c>
      <c r="D3">
        <v>29.28</v>
      </c>
      <c r="E3">
        <v>19276</v>
      </c>
    </row>
    <row r="4" spans="1:5">
      <c r="A4" t="s">
        <v>2548</v>
      </c>
      <c r="B4" t="s">
        <v>2555</v>
      </c>
      <c r="C4">
        <v>486814</v>
      </c>
      <c r="D4">
        <v>85.73</v>
      </c>
      <c r="E4">
        <v>40590</v>
      </c>
    </row>
    <row r="5" spans="1:5">
      <c r="A5" t="s">
        <v>2550</v>
      </c>
      <c r="B5" t="s">
        <v>2556</v>
      </c>
      <c r="C5">
        <v>975409</v>
      </c>
      <c r="D5">
        <v>63.58</v>
      </c>
      <c r="E5">
        <v>17091</v>
      </c>
    </row>
    <row r="6" spans="1:5">
      <c r="A6" t="s">
        <v>2549</v>
      </c>
      <c r="B6" t="s">
        <v>2557</v>
      </c>
      <c r="C6">
        <v>184575</v>
      </c>
      <c r="D6">
        <v>81.11</v>
      </c>
      <c r="E6">
        <v>41129</v>
      </c>
    </row>
    <row r="7" spans="1:5">
      <c r="A7" t="s">
        <v>2551</v>
      </c>
      <c r="B7" t="s">
        <v>2558</v>
      </c>
      <c r="C7">
        <v>535253</v>
      </c>
      <c r="D7">
        <v>54.28</v>
      </c>
      <c r="E7">
        <v>42206</v>
      </c>
    </row>
    <row r="8" spans="1:5">
      <c r="A8" t="s">
        <v>2549</v>
      </c>
      <c r="B8" t="s">
        <v>2559</v>
      </c>
      <c r="C8">
        <v>527892</v>
      </c>
      <c r="D8">
        <v>54.43</v>
      </c>
      <c r="E8">
        <v>28881</v>
      </c>
    </row>
    <row r="9" spans="1:5">
      <c r="A9" t="s">
        <v>2549</v>
      </c>
      <c r="B9" t="s">
        <v>2560</v>
      </c>
      <c r="C9">
        <v>782794</v>
      </c>
      <c r="D9">
        <v>41.74</v>
      </c>
      <c r="E9">
        <v>45034</v>
      </c>
    </row>
    <row r="10" spans="1:5">
      <c r="A10" t="s">
        <v>2552</v>
      </c>
      <c r="B10" t="s">
        <v>2561</v>
      </c>
      <c r="C10">
        <v>211163</v>
      </c>
      <c r="D10">
        <v>43.35</v>
      </c>
      <c r="E10">
        <v>27695</v>
      </c>
    </row>
    <row r="11" spans="1:5">
      <c r="A11" t="s">
        <v>2552</v>
      </c>
      <c r="B11" t="s">
        <v>2562</v>
      </c>
      <c r="C11">
        <v>684807</v>
      </c>
      <c r="D11">
        <v>24.21</v>
      </c>
      <c r="E11">
        <v>16661</v>
      </c>
    </row>
    <row r="12" spans="1:5">
      <c r="A12" t="s">
        <v>2548</v>
      </c>
      <c r="B12" t="s">
        <v>2563</v>
      </c>
      <c r="C12">
        <v>417077</v>
      </c>
      <c r="D12">
        <v>65.650000000000006</v>
      </c>
      <c r="E12">
        <v>49298</v>
      </c>
    </row>
    <row r="13" spans="1:5">
      <c r="A13" t="s">
        <v>2549</v>
      </c>
      <c r="B13" t="s">
        <v>2564</v>
      </c>
      <c r="C13">
        <v>269230</v>
      </c>
      <c r="D13">
        <v>71.930000000000007</v>
      </c>
      <c r="E13">
        <v>7967</v>
      </c>
    </row>
    <row r="14" spans="1:5">
      <c r="A14" t="s">
        <v>2549</v>
      </c>
      <c r="B14" t="s">
        <v>2565</v>
      </c>
      <c r="C14">
        <v>729663</v>
      </c>
      <c r="D14">
        <v>20.03</v>
      </c>
      <c r="E14">
        <v>24325</v>
      </c>
    </row>
    <row r="15" spans="1:5">
      <c r="A15" t="s">
        <v>2548</v>
      </c>
      <c r="B15" t="s">
        <v>2566</v>
      </c>
      <c r="C15">
        <v>887011</v>
      </c>
      <c r="D15">
        <v>37.32</v>
      </c>
      <c r="E15">
        <v>12080</v>
      </c>
    </row>
    <row r="16" spans="1:5">
      <c r="A16" t="s">
        <v>2551</v>
      </c>
      <c r="B16" t="s">
        <v>2567</v>
      </c>
      <c r="C16">
        <v>660056</v>
      </c>
      <c r="D16">
        <v>77.489999999999995</v>
      </c>
      <c r="E16">
        <v>44327</v>
      </c>
    </row>
    <row r="17" spans="1:5">
      <c r="A17" t="s">
        <v>2550</v>
      </c>
      <c r="B17" t="s">
        <v>2568</v>
      </c>
      <c r="C17">
        <v>116460</v>
      </c>
      <c r="D17">
        <v>29.08</v>
      </c>
      <c r="E17">
        <v>29115</v>
      </c>
    </row>
    <row r="18" spans="1:5">
      <c r="A18" t="s">
        <v>2551</v>
      </c>
      <c r="B18" t="s">
        <v>2569</v>
      </c>
      <c r="C18">
        <v>335237</v>
      </c>
      <c r="D18">
        <v>65.91</v>
      </c>
      <c r="E18">
        <v>38138</v>
      </c>
    </row>
    <row r="19" spans="1:5">
      <c r="A19" t="s">
        <v>2549</v>
      </c>
      <c r="B19" t="s">
        <v>2570</v>
      </c>
      <c r="C19">
        <v>744405</v>
      </c>
      <c r="D19">
        <v>40.18</v>
      </c>
      <c r="E19">
        <v>12777</v>
      </c>
    </row>
    <row r="20" spans="1:5">
      <c r="A20" t="s">
        <v>2551</v>
      </c>
      <c r="B20" t="s">
        <v>2571</v>
      </c>
      <c r="C20">
        <v>496248</v>
      </c>
      <c r="D20">
        <v>51.09</v>
      </c>
      <c r="E20">
        <v>27204</v>
      </c>
    </row>
    <row r="21" spans="1:5">
      <c r="A21" t="s">
        <v>2548</v>
      </c>
      <c r="B21" t="s">
        <v>2572</v>
      </c>
      <c r="C21">
        <v>161415</v>
      </c>
      <c r="D21">
        <v>41.95</v>
      </c>
      <c r="E21">
        <v>23646</v>
      </c>
    </row>
    <row r="22" spans="1:5">
      <c r="A22" t="s">
        <v>2552</v>
      </c>
      <c r="B22" t="s">
        <v>2573</v>
      </c>
      <c r="C22">
        <v>544642</v>
      </c>
      <c r="D22">
        <v>64.95</v>
      </c>
      <c r="E22">
        <v>10812</v>
      </c>
    </row>
    <row r="23" spans="1:5">
      <c r="A23" t="s">
        <v>2552</v>
      </c>
      <c r="B23" t="s">
        <v>2574</v>
      </c>
      <c r="C23">
        <v>135691</v>
      </c>
      <c r="D23">
        <v>69.069999999999993</v>
      </c>
      <c r="E23">
        <v>17162</v>
      </c>
    </row>
    <row r="24" spans="1:5">
      <c r="A24" t="s">
        <v>2549</v>
      </c>
      <c r="B24" t="s">
        <v>2575</v>
      </c>
      <c r="C24">
        <v>910563</v>
      </c>
      <c r="D24">
        <v>68.56</v>
      </c>
      <c r="E24">
        <v>19004</v>
      </c>
    </row>
    <row r="25" spans="1:5">
      <c r="A25" t="s">
        <v>2549</v>
      </c>
      <c r="B25" t="s">
        <v>2576</v>
      </c>
      <c r="C25">
        <v>292072</v>
      </c>
      <c r="D25">
        <v>22.16</v>
      </c>
      <c r="E25">
        <v>23327</v>
      </c>
    </row>
    <row r="26" spans="1:5">
      <c r="A26" t="s">
        <v>2548</v>
      </c>
      <c r="B26" t="s">
        <v>2577</v>
      </c>
      <c r="C26">
        <v>527356</v>
      </c>
      <c r="D26">
        <v>69.099999999999994</v>
      </c>
      <c r="E26">
        <v>49290</v>
      </c>
    </row>
    <row r="27" spans="1:5">
      <c r="A27" t="s">
        <v>2551</v>
      </c>
      <c r="B27" t="s">
        <v>2578</v>
      </c>
      <c r="C27">
        <v>154558</v>
      </c>
      <c r="D27">
        <v>48.2</v>
      </c>
      <c r="E27">
        <v>23353</v>
      </c>
    </row>
    <row r="28" spans="1:5">
      <c r="A28" t="s">
        <v>2549</v>
      </c>
      <c r="B28" t="s">
        <v>2579</v>
      </c>
      <c r="C28">
        <v>531712</v>
      </c>
      <c r="D28">
        <v>59.27</v>
      </c>
      <c r="E28">
        <v>38300</v>
      </c>
    </row>
    <row r="29" spans="1:5">
      <c r="A29" t="s">
        <v>2552</v>
      </c>
      <c r="B29" t="s">
        <v>2580</v>
      </c>
      <c r="C29">
        <v>855751</v>
      </c>
      <c r="D29">
        <v>41.93</v>
      </c>
      <c r="E29">
        <v>24673</v>
      </c>
    </row>
    <row r="30" spans="1:5">
      <c r="A30" t="s">
        <v>2551</v>
      </c>
      <c r="B30" t="s">
        <v>2581</v>
      </c>
      <c r="C30">
        <v>745697</v>
      </c>
      <c r="D30">
        <v>31.27</v>
      </c>
      <c r="E30">
        <v>10539</v>
      </c>
    </row>
    <row r="31" spans="1:5">
      <c r="A31" t="s">
        <v>2548</v>
      </c>
      <c r="B31" t="s">
        <v>2582</v>
      </c>
      <c r="C31">
        <v>272204</v>
      </c>
      <c r="D31">
        <v>42.87</v>
      </c>
      <c r="E31">
        <v>25428</v>
      </c>
    </row>
    <row r="32" spans="1:5">
      <c r="A32" t="s">
        <v>2549</v>
      </c>
      <c r="B32" t="s">
        <v>2583</v>
      </c>
      <c r="C32">
        <v>102705</v>
      </c>
      <c r="D32">
        <v>25.25</v>
      </c>
      <c r="E32">
        <v>4564</v>
      </c>
    </row>
    <row r="33" spans="1:5">
      <c r="A33" t="s">
        <v>2551</v>
      </c>
      <c r="B33" t="s">
        <v>2584</v>
      </c>
      <c r="C33">
        <v>563814</v>
      </c>
      <c r="D33">
        <v>66.19</v>
      </c>
      <c r="E33">
        <v>37288</v>
      </c>
    </row>
    <row r="34" spans="1:5">
      <c r="A34" t="s">
        <v>2552</v>
      </c>
      <c r="B34" t="s">
        <v>2585</v>
      </c>
      <c r="C34">
        <v>571774</v>
      </c>
      <c r="D34">
        <v>51.06</v>
      </c>
      <c r="E34">
        <v>23656</v>
      </c>
    </row>
    <row r="35" spans="1:5">
      <c r="A35" t="s">
        <v>2550</v>
      </c>
      <c r="B35" t="s">
        <v>2586</v>
      </c>
      <c r="C35">
        <v>209191</v>
      </c>
      <c r="D35">
        <v>58.87</v>
      </c>
      <c r="E35">
        <v>6417</v>
      </c>
    </row>
    <row r="36" spans="1:5">
      <c r="A36" t="s">
        <v>2549</v>
      </c>
      <c r="B36" t="s">
        <v>2587</v>
      </c>
      <c r="C36">
        <v>392779</v>
      </c>
      <c r="D36">
        <v>85.51</v>
      </c>
      <c r="E36">
        <v>44873</v>
      </c>
    </row>
    <row r="37" spans="1:5">
      <c r="A37" t="s">
        <v>2550</v>
      </c>
      <c r="B37" t="s">
        <v>2588</v>
      </c>
      <c r="C37">
        <v>356243</v>
      </c>
      <c r="D37">
        <v>26.05</v>
      </c>
      <c r="E37">
        <v>40929</v>
      </c>
    </row>
    <row r="38" spans="1:5">
      <c r="A38" t="s">
        <v>2550</v>
      </c>
      <c r="B38" t="s">
        <v>2589</v>
      </c>
      <c r="C38">
        <v>320579</v>
      </c>
      <c r="D38">
        <v>24.61</v>
      </c>
      <c r="E38">
        <v>13806</v>
      </c>
    </row>
    <row r="39" spans="1:5">
      <c r="A39" t="s">
        <v>2548</v>
      </c>
      <c r="B39" t="s">
        <v>2590</v>
      </c>
      <c r="C39">
        <v>294338</v>
      </c>
      <c r="D39">
        <v>61.23</v>
      </c>
      <c r="E39">
        <v>39211</v>
      </c>
    </row>
    <row r="40" spans="1:5">
      <c r="A40" t="s">
        <v>2552</v>
      </c>
      <c r="B40" t="s">
        <v>2591</v>
      </c>
      <c r="C40">
        <v>536353</v>
      </c>
      <c r="D40">
        <v>43.75</v>
      </c>
      <c r="E40">
        <v>4972</v>
      </c>
    </row>
    <row r="41" spans="1:5">
      <c r="A41" t="s">
        <v>2550</v>
      </c>
      <c r="B41" t="s">
        <v>2592</v>
      </c>
      <c r="C41">
        <v>487789</v>
      </c>
      <c r="D41">
        <v>59.86</v>
      </c>
      <c r="E41">
        <v>9148</v>
      </c>
    </row>
    <row r="42" spans="1:5">
      <c r="A42" t="s">
        <v>2550</v>
      </c>
      <c r="B42" t="s">
        <v>2593</v>
      </c>
      <c r="C42">
        <v>189477</v>
      </c>
      <c r="D42">
        <v>49.25</v>
      </c>
      <c r="E42">
        <v>6494</v>
      </c>
    </row>
    <row r="43" spans="1:5">
      <c r="A43" t="s">
        <v>2549</v>
      </c>
      <c r="B43" t="s">
        <v>2594</v>
      </c>
      <c r="C43">
        <v>516215</v>
      </c>
      <c r="D43">
        <v>70.61</v>
      </c>
      <c r="E43">
        <v>9532</v>
      </c>
    </row>
    <row r="44" spans="1:5">
      <c r="A44" t="s">
        <v>2548</v>
      </c>
      <c r="B44" t="s">
        <v>2595</v>
      </c>
      <c r="C44">
        <v>997515</v>
      </c>
      <c r="D44">
        <v>51.48</v>
      </c>
      <c r="E44">
        <v>37643</v>
      </c>
    </row>
    <row r="45" spans="1:5">
      <c r="A45" t="s">
        <v>2550</v>
      </c>
      <c r="B45" t="s">
        <v>2596</v>
      </c>
      <c r="C45">
        <v>322672</v>
      </c>
      <c r="D45">
        <v>46.45</v>
      </c>
      <c r="E45">
        <v>18041</v>
      </c>
    </row>
    <row r="46" spans="1:5">
      <c r="A46" t="s">
        <v>2552</v>
      </c>
      <c r="B46" t="s">
        <v>2597</v>
      </c>
      <c r="C46">
        <v>277837</v>
      </c>
      <c r="D46">
        <v>21.86</v>
      </c>
      <c r="E46">
        <v>38409</v>
      </c>
    </row>
    <row r="47" spans="1:5">
      <c r="A47" t="s">
        <v>2550</v>
      </c>
      <c r="B47" t="s">
        <v>2598</v>
      </c>
      <c r="C47">
        <v>913388</v>
      </c>
      <c r="D47">
        <v>56.86</v>
      </c>
      <c r="E47">
        <v>16466</v>
      </c>
    </row>
    <row r="48" spans="1:5">
      <c r="A48" t="s">
        <v>2550</v>
      </c>
      <c r="B48" t="s">
        <v>2599</v>
      </c>
      <c r="C48">
        <v>940810</v>
      </c>
      <c r="D48">
        <v>38.75</v>
      </c>
      <c r="E48">
        <v>36869</v>
      </c>
    </row>
    <row r="49" spans="1:5">
      <c r="A49" t="s">
        <v>2550</v>
      </c>
      <c r="B49" t="s">
        <v>2600</v>
      </c>
      <c r="C49">
        <v>685895</v>
      </c>
      <c r="D49">
        <v>47.3</v>
      </c>
      <c r="E49">
        <v>27760</v>
      </c>
    </row>
    <row r="50" spans="1:5">
      <c r="A50" t="s">
        <v>2549</v>
      </c>
      <c r="B50" t="s">
        <v>2601</v>
      </c>
      <c r="C50">
        <v>485546</v>
      </c>
      <c r="D50">
        <v>36.18</v>
      </c>
      <c r="E50">
        <v>40266</v>
      </c>
    </row>
    <row r="51" spans="1:5">
      <c r="A51" t="s">
        <v>2552</v>
      </c>
      <c r="B51" t="s">
        <v>2602</v>
      </c>
      <c r="C51">
        <v>837114</v>
      </c>
      <c r="D51">
        <v>65.87</v>
      </c>
      <c r="E51">
        <v>31754</v>
      </c>
    </row>
    <row r="52" spans="1:5">
      <c r="A52" t="s">
        <v>2548</v>
      </c>
      <c r="B52" t="s">
        <v>2603</v>
      </c>
      <c r="C52">
        <v>763036</v>
      </c>
      <c r="D52">
        <v>82.56</v>
      </c>
      <c r="E52">
        <v>10041</v>
      </c>
    </row>
    <row r="53" spans="1:5">
      <c r="A53" t="s">
        <v>2551</v>
      </c>
      <c r="B53" t="s">
        <v>2604</v>
      </c>
      <c r="C53">
        <v>143848</v>
      </c>
      <c r="D53">
        <v>20.14</v>
      </c>
      <c r="E53">
        <v>48069</v>
      </c>
    </row>
    <row r="54" spans="1:5">
      <c r="A54" t="s">
        <v>2551</v>
      </c>
      <c r="B54" t="s">
        <v>2605</v>
      </c>
      <c r="C54">
        <v>717361</v>
      </c>
      <c r="D54">
        <v>46.38</v>
      </c>
      <c r="E54">
        <v>33007</v>
      </c>
    </row>
    <row r="55" spans="1:5">
      <c r="A55" t="s">
        <v>2552</v>
      </c>
      <c r="B55" t="s">
        <v>2606</v>
      </c>
      <c r="C55">
        <v>560411</v>
      </c>
      <c r="D55">
        <v>27.99</v>
      </c>
      <c r="E55">
        <v>7197</v>
      </c>
    </row>
    <row r="56" spans="1:5">
      <c r="A56" t="s">
        <v>2551</v>
      </c>
      <c r="B56" t="s">
        <v>2607</v>
      </c>
      <c r="C56">
        <v>237453</v>
      </c>
      <c r="D56">
        <v>20.45</v>
      </c>
      <c r="E56">
        <v>32085</v>
      </c>
    </row>
    <row r="57" spans="1:5">
      <c r="A57" t="s">
        <v>2552</v>
      </c>
      <c r="B57" t="s">
        <v>2608</v>
      </c>
      <c r="C57">
        <v>613708</v>
      </c>
      <c r="D57">
        <v>61.93</v>
      </c>
      <c r="E57">
        <v>44971</v>
      </c>
    </row>
    <row r="58" spans="1:5">
      <c r="A58" t="s">
        <v>2549</v>
      </c>
      <c r="B58" t="s">
        <v>2609</v>
      </c>
      <c r="C58">
        <v>123366</v>
      </c>
      <c r="D58">
        <v>78.900000000000006</v>
      </c>
      <c r="E58">
        <v>28125</v>
      </c>
    </row>
    <row r="59" spans="1:5">
      <c r="A59" t="s">
        <v>2548</v>
      </c>
      <c r="B59" t="s">
        <v>2610</v>
      </c>
      <c r="C59">
        <v>806464</v>
      </c>
      <c r="D59">
        <v>78.849999999999994</v>
      </c>
      <c r="E59">
        <v>29065</v>
      </c>
    </row>
    <row r="60" spans="1:5">
      <c r="A60" t="s">
        <v>2550</v>
      </c>
      <c r="B60" t="s">
        <v>2611</v>
      </c>
      <c r="C60">
        <v>508152</v>
      </c>
      <c r="D60">
        <v>37.380000000000003</v>
      </c>
      <c r="E60">
        <v>39177</v>
      </c>
    </row>
    <row r="61" spans="1:5">
      <c r="A61" t="s">
        <v>2549</v>
      </c>
      <c r="B61" t="s">
        <v>2612</v>
      </c>
      <c r="C61">
        <v>455496</v>
      </c>
      <c r="D61">
        <v>54.83</v>
      </c>
      <c r="E61">
        <v>22223</v>
      </c>
    </row>
    <row r="62" spans="1:5">
      <c r="A62" t="s">
        <v>2551</v>
      </c>
      <c r="B62" t="s">
        <v>2613</v>
      </c>
      <c r="C62">
        <v>204938</v>
      </c>
      <c r="D62">
        <v>77.95</v>
      </c>
      <c r="E62">
        <v>35587</v>
      </c>
    </row>
    <row r="63" spans="1:5">
      <c r="A63" t="s">
        <v>2548</v>
      </c>
      <c r="B63" t="s">
        <v>2614</v>
      </c>
      <c r="C63">
        <v>937208</v>
      </c>
      <c r="D63">
        <v>22.99</v>
      </c>
      <c r="E63">
        <v>13837</v>
      </c>
    </row>
    <row r="64" spans="1:5">
      <c r="A64" t="s">
        <v>2552</v>
      </c>
      <c r="B64" t="s">
        <v>2615</v>
      </c>
      <c r="C64">
        <v>355034</v>
      </c>
      <c r="D64">
        <v>41.84</v>
      </c>
      <c r="E64">
        <v>27451</v>
      </c>
    </row>
    <row r="65" spans="1:5">
      <c r="A65" t="s">
        <v>2551</v>
      </c>
      <c r="B65" t="s">
        <v>2616</v>
      </c>
      <c r="C65">
        <v>482153</v>
      </c>
      <c r="D65">
        <v>25.12</v>
      </c>
      <c r="E65">
        <v>20902</v>
      </c>
    </row>
    <row r="66" spans="1:5">
      <c r="A66" t="s">
        <v>2550</v>
      </c>
      <c r="B66" t="s">
        <v>2617</v>
      </c>
      <c r="C66">
        <v>489152</v>
      </c>
      <c r="D66">
        <v>44.78</v>
      </c>
      <c r="E66">
        <v>45086</v>
      </c>
    </row>
    <row r="67" spans="1:5">
      <c r="A67" t="s">
        <v>2549</v>
      </c>
      <c r="B67" t="s">
        <v>2618</v>
      </c>
      <c r="C67">
        <v>453663</v>
      </c>
      <c r="D67">
        <v>69.010000000000005</v>
      </c>
      <c r="E67">
        <v>32642</v>
      </c>
    </row>
    <row r="68" spans="1:5">
      <c r="A68" t="s">
        <v>2549</v>
      </c>
      <c r="B68" t="s">
        <v>2619</v>
      </c>
      <c r="C68">
        <v>400757</v>
      </c>
      <c r="D68">
        <v>32.61</v>
      </c>
      <c r="E68">
        <v>31049</v>
      </c>
    </row>
    <row r="69" spans="1:5">
      <c r="A69" t="s">
        <v>2549</v>
      </c>
      <c r="B69" t="s">
        <v>2620</v>
      </c>
      <c r="C69">
        <v>859749</v>
      </c>
      <c r="D69">
        <v>22.56</v>
      </c>
      <c r="E69">
        <v>13620</v>
      </c>
    </row>
    <row r="70" spans="1:5">
      <c r="A70" t="s">
        <v>2548</v>
      </c>
      <c r="B70" t="s">
        <v>2621</v>
      </c>
      <c r="C70">
        <v>311358</v>
      </c>
      <c r="D70">
        <v>80.55</v>
      </c>
      <c r="E70">
        <v>2128</v>
      </c>
    </row>
    <row r="71" spans="1:5">
      <c r="A71" t="s">
        <v>2552</v>
      </c>
      <c r="B71" t="s">
        <v>2622</v>
      </c>
      <c r="C71">
        <v>954540</v>
      </c>
      <c r="D71">
        <v>29.75</v>
      </c>
      <c r="E71">
        <v>31040</v>
      </c>
    </row>
    <row r="72" spans="1:5">
      <c r="A72" t="s">
        <v>2548</v>
      </c>
      <c r="B72" t="s">
        <v>2623</v>
      </c>
      <c r="C72">
        <v>485820</v>
      </c>
      <c r="D72">
        <v>59.34</v>
      </c>
      <c r="E72">
        <v>47903</v>
      </c>
    </row>
    <row r="73" spans="1:5">
      <c r="A73" t="s">
        <v>2548</v>
      </c>
      <c r="B73" t="s">
        <v>2624</v>
      </c>
      <c r="C73">
        <v>233485</v>
      </c>
      <c r="D73">
        <v>84.59</v>
      </c>
      <c r="E73">
        <v>44562</v>
      </c>
    </row>
    <row r="74" spans="1:5">
      <c r="A74" t="s">
        <v>2552</v>
      </c>
      <c r="B74" t="s">
        <v>2625</v>
      </c>
      <c r="C74">
        <v>987774</v>
      </c>
      <c r="D74">
        <v>69.680000000000007</v>
      </c>
      <c r="E74">
        <v>48429</v>
      </c>
    </row>
    <row r="75" spans="1:5">
      <c r="A75" t="s">
        <v>2552</v>
      </c>
      <c r="B75" t="s">
        <v>2626</v>
      </c>
      <c r="C75">
        <v>186359</v>
      </c>
      <c r="D75">
        <v>76.53</v>
      </c>
      <c r="E75">
        <v>27475</v>
      </c>
    </row>
    <row r="76" spans="1:5">
      <c r="A76" t="s">
        <v>2549</v>
      </c>
      <c r="B76" t="s">
        <v>2627</v>
      </c>
      <c r="C76">
        <v>361330</v>
      </c>
      <c r="D76">
        <v>68.64</v>
      </c>
      <c r="E76">
        <v>42070</v>
      </c>
    </row>
    <row r="77" spans="1:5">
      <c r="A77" t="s">
        <v>2551</v>
      </c>
      <c r="B77" t="s">
        <v>2628</v>
      </c>
      <c r="C77">
        <v>761569</v>
      </c>
      <c r="D77">
        <v>52.41</v>
      </c>
      <c r="E77">
        <v>45298</v>
      </c>
    </row>
    <row r="78" spans="1:5">
      <c r="A78" t="s">
        <v>2551</v>
      </c>
      <c r="B78" t="s">
        <v>2629</v>
      </c>
      <c r="C78">
        <v>470553</v>
      </c>
      <c r="D78">
        <v>75.39</v>
      </c>
      <c r="E78">
        <v>1800</v>
      </c>
    </row>
    <row r="79" spans="1:5">
      <c r="A79" t="s">
        <v>2550</v>
      </c>
      <c r="B79" t="s">
        <v>2630</v>
      </c>
      <c r="C79">
        <v>804490</v>
      </c>
      <c r="D79">
        <v>34.54</v>
      </c>
      <c r="E79">
        <v>1409</v>
      </c>
    </row>
    <row r="80" spans="1:5">
      <c r="A80" t="s">
        <v>2552</v>
      </c>
      <c r="B80" t="s">
        <v>2631</v>
      </c>
      <c r="C80">
        <v>468164</v>
      </c>
      <c r="D80">
        <v>84.44</v>
      </c>
      <c r="E80">
        <v>8770</v>
      </c>
    </row>
    <row r="81" spans="1:5">
      <c r="A81" t="s">
        <v>2552</v>
      </c>
      <c r="B81" t="s">
        <v>2632</v>
      </c>
      <c r="C81">
        <v>262772</v>
      </c>
      <c r="D81">
        <v>34.28</v>
      </c>
      <c r="E81">
        <v>19375</v>
      </c>
    </row>
    <row r="82" spans="1:5">
      <c r="A82" t="s">
        <v>2552</v>
      </c>
      <c r="B82" t="s">
        <v>2633</v>
      </c>
      <c r="C82">
        <v>229267</v>
      </c>
      <c r="D82">
        <v>44.99</v>
      </c>
      <c r="E82">
        <v>47709</v>
      </c>
    </row>
    <row r="83" spans="1:5">
      <c r="A83" t="s">
        <v>2548</v>
      </c>
      <c r="B83" t="s">
        <v>2634</v>
      </c>
      <c r="C83">
        <v>364414</v>
      </c>
      <c r="D83">
        <v>67.08</v>
      </c>
      <c r="E83">
        <v>15143</v>
      </c>
    </row>
    <row r="84" spans="1:5">
      <c r="A84" t="s">
        <v>2550</v>
      </c>
      <c r="B84" t="s">
        <v>2635</v>
      </c>
      <c r="C84">
        <v>821102</v>
      </c>
      <c r="D84">
        <v>78.91</v>
      </c>
      <c r="E84">
        <v>24272</v>
      </c>
    </row>
    <row r="85" spans="1:5">
      <c r="A85" t="s">
        <v>2551</v>
      </c>
      <c r="B85" t="s">
        <v>2636</v>
      </c>
      <c r="C85">
        <v>180386</v>
      </c>
      <c r="D85">
        <v>28.12</v>
      </c>
      <c r="E85">
        <v>34187</v>
      </c>
    </row>
    <row r="86" spans="1:5">
      <c r="A86" t="s">
        <v>2551</v>
      </c>
      <c r="B86" t="s">
        <v>2637</v>
      </c>
      <c r="C86">
        <v>465768</v>
      </c>
      <c r="D86">
        <v>67.11</v>
      </c>
      <c r="E86">
        <v>41708</v>
      </c>
    </row>
    <row r="87" spans="1:5">
      <c r="A87" t="s">
        <v>2549</v>
      </c>
      <c r="B87" t="s">
        <v>2638</v>
      </c>
      <c r="C87">
        <v>954671</v>
      </c>
      <c r="D87">
        <v>86.84</v>
      </c>
      <c r="E87">
        <v>41955</v>
      </c>
    </row>
    <row r="88" spans="1:5">
      <c r="A88" t="s">
        <v>2550</v>
      </c>
      <c r="B88" t="s">
        <v>2639</v>
      </c>
      <c r="C88">
        <v>466394</v>
      </c>
      <c r="D88">
        <v>84.04</v>
      </c>
      <c r="E88">
        <v>38789</v>
      </c>
    </row>
    <row r="89" spans="1:5">
      <c r="A89" t="s">
        <v>2549</v>
      </c>
      <c r="B89" t="s">
        <v>2640</v>
      </c>
      <c r="C89">
        <v>425786</v>
      </c>
      <c r="D89">
        <v>21.64</v>
      </c>
      <c r="E89">
        <v>10557</v>
      </c>
    </row>
    <row r="90" spans="1:5">
      <c r="A90" t="s">
        <v>2551</v>
      </c>
      <c r="B90" t="s">
        <v>2641</v>
      </c>
      <c r="C90">
        <v>533680</v>
      </c>
      <c r="D90">
        <v>58.1</v>
      </c>
      <c r="E90">
        <v>3971</v>
      </c>
    </row>
    <row r="91" spans="1:5">
      <c r="A91" t="s">
        <v>2551</v>
      </c>
      <c r="B91" t="s">
        <v>2642</v>
      </c>
      <c r="C91">
        <v>446250</v>
      </c>
      <c r="D91">
        <v>71.28</v>
      </c>
      <c r="E91">
        <v>19197</v>
      </c>
    </row>
    <row r="92" spans="1:5">
      <c r="A92" t="s">
        <v>2549</v>
      </c>
      <c r="B92" t="s">
        <v>2643</v>
      </c>
      <c r="C92">
        <v>641582</v>
      </c>
      <c r="D92">
        <v>32.409999999999997</v>
      </c>
      <c r="E92">
        <v>21363</v>
      </c>
    </row>
    <row r="93" spans="1:5">
      <c r="A93" t="s">
        <v>2548</v>
      </c>
      <c r="B93" t="s">
        <v>2644</v>
      </c>
      <c r="C93">
        <v>441659</v>
      </c>
      <c r="D93">
        <v>27.7</v>
      </c>
      <c r="E93">
        <v>47120</v>
      </c>
    </row>
    <row r="94" spans="1:5">
      <c r="A94" t="s">
        <v>2550</v>
      </c>
      <c r="B94" t="s">
        <v>2645</v>
      </c>
      <c r="C94">
        <v>549115</v>
      </c>
      <c r="D94">
        <v>20.03</v>
      </c>
      <c r="E94">
        <v>12818</v>
      </c>
    </row>
    <row r="95" spans="1:5">
      <c r="A95" t="s">
        <v>2548</v>
      </c>
      <c r="B95" t="s">
        <v>2646</v>
      </c>
      <c r="C95">
        <v>350998</v>
      </c>
      <c r="D95">
        <v>35.54</v>
      </c>
      <c r="E95">
        <v>27078</v>
      </c>
    </row>
    <row r="96" spans="1:5">
      <c r="A96" t="s">
        <v>2550</v>
      </c>
      <c r="B96" t="s">
        <v>2647</v>
      </c>
      <c r="C96">
        <v>627580</v>
      </c>
      <c r="D96">
        <v>64.19</v>
      </c>
      <c r="E96">
        <v>12705</v>
      </c>
    </row>
    <row r="97" spans="1:5">
      <c r="A97" t="s">
        <v>2548</v>
      </c>
      <c r="B97" t="s">
        <v>2648</v>
      </c>
      <c r="C97">
        <v>695330</v>
      </c>
      <c r="D97">
        <v>23.02</v>
      </c>
      <c r="E97">
        <v>47606</v>
      </c>
    </row>
    <row r="98" spans="1:5">
      <c r="A98" t="s">
        <v>2550</v>
      </c>
      <c r="B98" t="s">
        <v>2649</v>
      </c>
      <c r="C98">
        <v>386493</v>
      </c>
      <c r="D98">
        <v>44.87</v>
      </c>
      <c r="E98">
        <v>22932</v>
      </c>
    </row>
    <row r="99" spans="1:5">
      <c r="A99" t="s">
        <v>2552</v>
      </c>
      <c r="B99" t="s">
        <v>2650</v>
      </c>
      <c r="C99">
        <v>662491</v>
      </c>
      <c r="D99">
        <v>51.28</v>
      </c>
      <c r="E99">
        <v>18912</v>
      </c>
    </row>
    <row r="100" spans="1:5">
      <c r="A100" t="s">
        <v>2552</v>
      </c>
      <c r="B100" t="s">
        <v>2651</v>
      </c>
      <c r="C100">
        <v>530437</v>
      </c>
      <c r="D100">
        <v>73.94</v>
      </c>
      <c r="E100">
        <v>10558</v>
      </c>
    </row>
    <row r="101" spans="1:5">
      <c r="A101" t="s">
        <v>2552</v>
      </c>
      <c r="B101" t="s">
        <v>2652</v>
      </c>
      <c r="C101">
        <v>232519</v>
      </c>
      <c r="D101">
        <v>22.1</v>
      </c>
      <c r="E101">
        <v>32381</v>
      </c>
    </row>
    <row r="102" spans="1:5">
      <c r="A102" t="s">
        <v>2552</v>
      </c>
      <c r="B102" t="s">
        <v>2653</v>
      </c>
      <c r="C102">
        <v>720129</v>
      </c>
      <c r="D102">
        <v>26.96</v>
      </c>
      <c r="E102">
        <v>22650</v>
      </c>
    </row>
    <row r="103" spans="1:5">
      <c r="A103" t="s">
        <v>2551</v>
      </c>
      <c r="B103" t="s">
        <v>2654</v>
      </c>
      <c r="C103">
        <v>716238</v>
      </c>
      <c r="D103">
        <v>31.5</v>
      </c>
      <c r="E103">
        <v>34395</v>
      </c>
    </row>
    <row r="104" spans="1:5">
      <c r="A104" t="s">
        <v>2548</v>
      </c>
      <c r="B104" t="s">
        <v>2655</v>
      </c>
      <c r="C104">
        <v>434933</v>
      </c>
      <c r="D104">
        <v>34.25</v>
      </c>
      <c r="E104">
        <v>32446</v>
      </c>
    </row>
    <row r="105" spans="1:5">
      <c r="A105" t="s">
        <v>2551</v>
      </c>
      <c r="B105" t="s">
        <v>2656</v>
      </c>
      <c r="C105">
        <v>309254</v>
      </c>
      <c r="D105">
        <v>55.41</v>
      </c>
      <c r="E105">
        <v>32223</v>
      </c>
    </row>
    <row r="106" spans="1:5">
      <c r="A106" t="s">
        <v>2552</v>
      </c>
      <c r="B106" t="s">
        <v>2657</v>
      </c>
      <c r="C106">
        <v>884916</v>
      </c>
      <c r="D106">
        <v>32.9</v>
      </c>
      <c r="E106">
        <v>26278</v>
      </c>
    </row>
    <row r="107" spans="1:5">
      <c r="A107" t="s">
        <v>2551</v>
      </c>
      <c r="B107" t="s">
        <v>2658</v>
      </c>
      <c r="C107">
        <v>980984</v>
      </c>
      <c r="D107">
        <v>49.85</v>
      </c>
      <c r="E107">
        <v>3598</v>
      </c>
    </row>
    <row r="108" spans="1:5">
      <c r="A108" t="s">
        <v>2548</v>
      </c>
      <c r="B108" t="s">
        <v>2659</v>
      </c>
      <c r="C108">
        <v>875309</v>
      </c>
      <c r="D108">
        <v>76.67</v>
      </c>
      <c r="E108">
        <v>29660</v>
      </c>
    </row>
    <row r="109" spans="1:5">
      <c r="A109" t="s">
        <v>2549</v>
      </c>
      <c r="B109" t="s">
        <v>2660</v>
      </c>
      <c r="C109">
        <v>931897</v>
      </c>
      <c r="D109">
        <v>23.31</v>
      </c>
      <c r="E109">
        <v>5016</v>
      </c>
    </row>
    <row r="110" spans="1:5">
      <c r="A110" t="s">
        <v>2548</v>
      </c>
      <c r="B110" t="s">
        <v>2661</v>
      </c>
      <c r="C110">
        <v>771851</v>
      </c>
      <c r="D110">
        <v>47.79</v>
      </c>
      <c r="E110">
        <v>5814</v>
      </c>
    </row>
    <row r="111" spans="1:5">
      <c r="A111" t="s">
        <v>2549</v>
      </c>
      <c r="B111" t="s">
        <v>2662</v>
      </c>
      <c r="C111">
        <v>148147</v>
      </c>
      <c r="D111">
        <v>67.53</v>
      </c>
      <c r="E111">
        <v>5285</v>
      </c>
    </row>
    <row r="112" spans="1:5">
      <c r="A112" t="s">
        <v>2548</v>
      </c>
      <c r="B112" t="s">
        <v>2663</v>
      </c>
      <c r="C112">
        <v>310034</v>
      </c>
      <c r="D112">
        <v>44.77</v>
      </c>
      <c r="E112">
        <v>5750</v>
      </c>
    </row>
    <row r="113" spans="1:5">
      <c r="A113" t="s">
        <v>2548</v>
      </c>
      <c r="B113" t="s">
        <v>2664</v>
      </c>
      <c r="C113">
        <v>247281</v>
      </c>
      <c r="D113">
        <v>43.43</v>
      </c>
      <c r="E113">
        <v>14530</v>
      </c>
    </row>
    <row r="114" spans="1:5">
      <c r="A114" t="s">
        <v>2552</v>
      </c>
      <c r="B114" t="s">
        <v>2665</v>
      </c>
      <c r="C114">
        <v>178152</v>
      </c>
      <c r="D114">
        <v>44.9</v>
      </c>
      <c r="E114">
        <v>43733</v>
      </c>
    </row>
    <row r="115" spans="1:5">
      <c r="A115" t="s">
        <v>2552</v>
      </c>
      <c r="B115" t="s">
        <v>2666</v>
      </c>
      <c r="C115">
        <v>444145</v>
      </c>
      <c r="D115">
        <v>42</v>
      </c>
      <c r="E115">
        <v>49386</v>
      </c>
    </row>
    <row r="116" spans="1:5">
      <c r="A116" t="s">
        <v>2551</v>
      </c>
      <c r="B116" t="s">
        <v>2667</v>
      </c>
      <c r="C116">
        <v>505228</v>
      </c>
      <c r="D116">
        <v>20.51</v>
      </c>
      <c r="E116">
        <v>20935</v>
      </c>
    </row>
    <row r="117" spans="1:5">
      <c r="A117" t="s">
        <v>2548</v>
      </c>
      <c r="B117" t="s">
        <v>2668</v>
      </c>
      <c r="C117">
        <v>749846</v>
      </c>
      <c r="D117">
        <v>39.1</v>
      </c>
      <c r="E117">
        <v>14944</v>
      </c>
    </row>
    <row r="118" spans="1:5">
      <c r="A118" t="s">
        <v>2552</v>
      </c>
      <c r="B118" t="s">
        <v>2669</v>
      </c>
      <c r="C118">
        <v>313882</v>
      </c>
      <c r="D118">
        <v>87.79</v>
      </c>
      <c r="E118">
        <v>41184</v>
      </c>
    </row>
    <row r="119" spans="1:5">
      <c r="A119" t="s">
        <v>2548</v>
      </c>
      <c r="B119" t="s">
        <v>2670</v>
      </c>
      <c r="C119">
        <v>120845</v>
      </c>
      <c r="D119">
        <v>45.02</v>
      </c>
      <c r="E119">
        <v>35269</v>
      </c>
    </row>
    <row r="120" spans="1:5">
      <c r="A120" t="s">
        <v>2550</v>
      </c>
      <c r="B120" t="s">
        <v>2671</v>
      </c>
      <c r="C120">
        <v>616536</v>
      </c>
      <c r="D120">
        <v>50.08</v>
      </c>
      <c r="E120">
        <v>33526</v>
      </c>
    </row>
    <row r="121" spans="1:5">
      <c r="A121" t="s">
        <v>2548</v>
      </c>
      <c r="B121" t="s">
        <v>2672</v>
      </c>
      <c r="C121">
        <v>462520</v>
      </c>
      <c r="D121">
        <v>74.67</v>
      </c>
      <c r="E121">
        <v>46525</v>
      </c>
    </row>
    <row r="122" spans="1:5">
      <c r="A122" t="s">
        <v>2550</v>
      </c>
      <c r="B122" t="s">
        <v>2673</v>
      </c>
      <c r="C122">
        <v>288066</v>
      </c>
      <c r="D122">
        <v>77.47</v>
      </c>
      <c r="E122">
        <v>22347</v>
      </c>
    </row>
    <row r="123" spans="1:5">
      <c r="A123" t="s">
        <v>2548</v>
      </c>
      <c r="B123" t="s">
        <v>2674</v>
      </c>
      <c r="C123">
        <v>758349</v>
      </c>
      <c r="D123">
        <v>37.9</v>
      </c>
      <c r="E123">
        <v>1046</v>
      </c>
    </row>
    <row r="124" spans="1:5">
      <c r="A124" t="s">
        <v>2550</v>
      </c>
      <c r="B124" t="s">
        <v>2675</v>
      </c>
      <c r="C124">
        <v>399247</v>
      </c>
      <c r="D124">
        <v>74.66</v>
      </c>
      <c r="E124">
        <v>47493</v>
      </c>
    </row>
    <row r="125" spans="1:5">
      <c r="A125" t="s">
        <v>2549</v>
      </c>
      <c r="B125" t="s">
        <v>2676</v>
      </c>
      <c r="C125">
        <v>975716</v>
      </c>
      <c r="D125">
        <v>36.99</v>
      </c>
      <c r="E125">
        <v>29668</v>
      </c>
    </row>
    <row r="126" spans="1:5">
      <c r="A126" t="s">
        <v>2549</v>
      </c>
      <c r="B126" t="s">
        <v>2677</v>
      </c>
      <c r="C126">
        <v>144191</v>
      </c>
      <c r="D126">
        <v>32.08</v>
      </c>
      <c r="E126">
        <v>39428</v>
      </c>
    </row>
    <row r="127" spans="1:5">
      <c r="A127" t="s">
        <v>2550</v>
      </c>
      <c r="B127" t="s">
        <v>2678</v>
      </c>
      <c r="C127">
        <v>346480</v>
      </c>
      <c r="D127">
        <v>79.099999999999994</v>
      </c>
      <c r="E127">
        <v>3895</v>
      </c>
    </row>
    <row r="128" spans="1:5">
      <c r="A128" t="s">
        <v>2551</v>
      </c>
      <c r="B128" t="s">
        <v>2679</v>
      </c>
      <c r="C128">
        <v>842918</v>
      </c>
      <c r="D128">
        <v>68.17</v>
      </c>
      <c r="E128">
        <v>2996</v>
      </c>
    </row>
    <row r="129" spans="1:5">
      <c r="A129" t="s">
        <v>2550</v>
      </c>
      <c r="B129" t="s">
        <v>2680</v>
      </c>
      <c r="C129">
        <v>690310</v>
      </c>
      <c r="D129">
        <v>57.98</v>
      </c>
      <c r="E129">
        <v>42989</v>
      </c>
    </row>
    <row r="130" spans="1:5">
      <c r="A130" t="s">
        <v>2549</v>
      </c>
      <c r="B130" t="s">
        <v>2681</v>
      </c>
      <c r="C130">
        <v>152820</v>
      </c>
      <c r="D130">
        <v>66.81</v>
      </c>
      <c r="E130">
        <v>42944</v>
      </c>
    </row>
    <row r="131" spans="1:5">
      <c r="A131" t="s">
        <v>2552</v>
      </c>
      <c r="B131" t="s">
        <v>2682</v>
      </c>
      <c r="C131">
        <v>208678</v>
      </c>
      <c r="D131">
        <v>26.64</v>
      </c>
      <c r="E131">
        <v>5719</v>
      </c>
    </row>
    <row r="132" spans="1:5">
      <c r="A132" t="s">
        <v>2551</v>
      </c>
      <c r="B132" t="s">
        <v>2683</v>
      </c>
      <c r="C132">
        <v>402898</v>
      </c>
      <c r="D132">
        <v>79.2</v>
      </c>
      <c r="E132">
        <v>27681</v>
      </c>
    </row>
    <row r="133" spans="1:5">
      <c r="A133" t="s">
        <v>2551</v>
      </c>
      <c r="B133" t="s">
        <v>2684</v>
      </c>
      <c r="C133">
        <v>684458</v>
      </c>
      <c r="D133">
        <v>67.98</v>
      </c>
      <c r="E133">
        <v>42220</v>
      </c>
    </row>
    <row r="134" spans="1:5">
      <c r="A134" t="s">
        <v>2549</v>
      </c>
      <c r="B134" t="s">
        <v>2685</v>
      </c>
      <c r="C134">
        <v>109317</v>
      </c>
      <c r="D134">
        <v>79.010000000000005</v>
      </c>
      <c r="E134">
        <v>24694</v>
      </c>
    </row>
    <row r="135" spans="1:5">
      <c r="A135" t="s">
        <v>2548</v>
      </c>
      <c r="B135" t="s">
        <v>2686</v>
      </c>
      <c r="C135">
        <v>494068</v>
      </c>
      <c r="D135">
        <v>82.33</v>
      </c>
      <c r="E135">
        <v>48514</v>
      </c>
    </row>
    <row r="136" spans="1:5">
      <c r="A136" t="s">
        <v>2552</v>
      </c>
      <c r="B136" t="s">
        <v>2687</v>
      </c>
      <c r="C136">
        <v>841958</v>
      </c>
      <c r="D136">
        <v>36.4</v>
      </c>
      <c r="E136">
        <v>26968</v>
      </c>
    </row>
    <row r="137" spans="1:5">
      <c r="A137" t="s">
        <v>2550</v>
      </c>
      <c r="B137" t="s">
        <v>2688</v>
      </c>
      <c r="C137">
        <v>854265</v>
      </c>
      <c r="D137">
        <v>55.04</v>
      </c>
      <c r="E137">
        <v>48295</v>
      </c>
    </row>
    <row r="138" spans="1:5">
      <c r="A138" t="s">
        <v>2551</v>
      </c>
      <c r="B138" t="s">
        <v>2689</v>
      </c>
      <c r="C138">
        <v>489332</v>
      </c>
      <c r="D138">
        <v>60.21</v>
      </c>
      <c r="E138">
        <v>36727</v>
      </c>
    </row>
    <row r="139" spans="1:5">
      <c r="A139" t="s">
        <v>2549</v>
      </c>
      <c r="B139" t="s">
        <v>2690</v>
      </c>
      <c r="C139">
        <v>150136</v>
      </c>
      <c r="D139">
        <v>48.12</v>
      </c>
      <c r="E139">
        <v>42999</v>
      </c>
    </row>
    <row r="140" spans="1:5">
      <c r="A140" t="s">
        <v>2551</v>
      </c>
      <c r="B140" t="s">
        <v>2691</v>
      </c>
      <c r="C140">
        <v>523977</v>
      </c>
      <c r="D140">
        <v>87.06</v>
      </c>
      <c r="E140">
        <v>49717</v>
      </c>
    </row>
    <row r="141" spans="1:5">
      <c r="A141" t="s">
        <v>2551</v>
      </c>
      <c r="B141" t="s">
        <v>2692</v>
      </c>
      <c r="C141">
        <v>298994</v>
      </c>
      <c r="D141">
        <v>36.29</v>
      </c>
      <c r="E141">
        <v>1851</v>
      </c>
    </row>
    <row r="142" spans="1:5">
      <c r="A142" t="s">
        <v>2550</v>
      </c>
      <c r="B142" t="s">
        <v>2693</v>
      </c>
      <c r="C142">
        <v>488473</v>
      </c>
      <c r="D142">
        <v>41.21</v>
      </c>
      <c r="E142">
        <v>39069</v>
      </c>
    </row>
    <row r="143" spans="1:5">
      <c r="A143" t="s">
        <v>2549</v>
      </c>
      <c r="B143" t="s">
        <v>2694</v>
      </c>
      <c r="C143">
        <v>957160</v>
      </c>
      <c r="D143">
        <v>40.74</v>
      </c>
      <c r="E143">
        <v>32977</v>
      </c>
    </row>
    <row r="144" spans="1:5">
      <c r="A144" t="s">
        <v>2551</v>
      </c>
      <c r="B144" t="s">
        <v>2695</v>
      </c>
      <c r="C144">
        <v>633764</v>
      </c>
      <c r="D144">
        <v>25.66</v>
      </c>
      <c r="E144">
        <v>20400</v>
      </c>
    </row>
    <row r="145" spans="1:5">
      <c r="A145" t="s">
        <v>2552</v>
      </c>
      <c r="B145" t="s">
        <v>2696</v>
      </c>
      <c r="C145">
        <v>807057</v>
      </c>
      <c r="D145">
        <v>58.17</v>
      </c>
      <c r="E145">
        <v>23818</v>
      </c>
    </row>
    <row r="146" spans="1:5">
      <c r="A146" t="s">
        <v>2549</v>
      </c>
      <c r="B146" t="s">
        <v>2697</v>
      </c>
      <c r="C146">
        <v>472731</v>
      </c>
      <c r="D146">
        <v>87.66</v>
      </c>
      <c r="E146">
        <v>33341</v>
      </c>
    </row>
    <row r="147" spans="1:5">
      <c r="A147" t="s">
        <v>2552</v>
      </c>
      <c r="B147" t="s">
        <v>2698</v>
      </c>
      <c r="C147">
        <v>196322</v>
      </c>
      <c r="D147">
        <v>73.8</v>
      </c>
      <c r="E147">
        <v>45145</v>
      </c>
    </row>
    <row r="148" spans="1:5">
      <c r="A148" t="s">
        <v>2548</v>
      </c>
      <c r="B148" t="s">
        <v>2699</v>
      </c>
      <c r="C148">
        <v>621076</v>
      </c>
      <c r="D148">
        <v>70.53</v>
      </c>
      <c r="E148">
        <v>1953</v>
      </c>
    </row>
    <row r="149" spans="1:5">
      <c r="A149" t="s">
        <v>2549</v>
      </c>
      <c r="B149" t="s">
        <v>2700</v>
      </c>
      <c r="C149">
        <v>142158</v>
      </c>
      <c r="D149">
        <v>76.55</v>
      </c>
      <c r="E149">
        <v>32265</v>
      </c>
    </row>
    <row r="150" spans="1:5">
      <c r="A150" t="s">
        <v>2552</v>
      </c>
      <c r="B150" t="s">
        <v>2701</v>
      </c>
      <c r="C150">
        <v>887977</v>
      </c>
      <c r="D150">
        <v>62.6</v>
      </c>
      <c r="E150">
        <v>28825</v>
      </c>
    </row>
    <row r="151" spans="1:5">
      <c r="A151" t="s">
        <v>2551</v>
      </c>
      <c r="B151" t="s">
        <v>2702</v>
      </c>
      <c r="C151">
        <v>174791</v>
      </c>
      <c r="D151">
        <v>88.79</v>
      </c>
      <c r="E151">
        <v>10437</v>
      </c>
    </row>
    <row r="152" spans="1:5">
      <c r="A152" t="s">
        <v>2552</v>
      </c>
      <c r="B152" t="s">
        <v>2703</v>
      </c>
      <c r="C152">
        <v>734370</v>
      </c>
      <c r="D152">
        <v>77.97</v>
      </c>
      <c r="E152">
        <v>34198</v>
      </c>
    </row>
    <row r="153" spans="1:5">
      <c r="A153" t="s">
        <v>2550</v>
      </c>
      <c r="B153" t="s">
        <v>2704</v>
      </c>
      <c r="C153">
        <v>392693</v>
      </c>
      <c r="D153">
        <v>22.48</v>
      </c>
      <c r="E153">
        <v>5113</v>
      </c>
    </row>
    <row r="154" spans="1:5">
      <c r="A154" t="s">
        <v>2549</v>
      </c>
      <c r="B154" t="s">
        <v>2705</v>
      </c>
      <c r="C154">
        <v>984962</v>
      </c>
      <c r="D154">
        <v>75.75</v>
      </c>
      <c r="E154">
        <v>17205</v>
      </c>
    </row>
    <row r="155" spans="1:5">
      <c r="A155" t="s">
        <v>2548</v>
      </c>
      <c r="B155" t="s">
        <v>2706</v>
      </c>
      <c r="C155">
        <v>878900</v>
      </c>
      <c r="D155">
        <v>53.45</v>
      </c>
      <c r="E155">
        <v>20119</v>
      </c>
    </row>
    <row r="156" spans="1:5">
      <c r="A156" t="s">
        <v>2552</v>
      </c>
      <c r="B156" t="s">
        <v>2707</v>
      </c>
      <c r="C156">
        <v>259949</v>
      </c>
      <c r="D156">
        <v>20.74</v>
      </c>
      <c r="E156">
        <v>28054</v>
      </c>
    </row>
    <row r="157" spans="1:5">
      <c r="A157" t="s">
        <v>2551</v>
      </c>
      <c r="B157" t="s">
        <v>2708</v>
      </c>
      <c r="C157">
        <v>471779</v>
      </c>
      <c r="D157">
        <v>54.85</v>
      </c>
      <c r="E157">
        <v>1939</v>
      </c>
    </row>
    <row r="158" spans="1:5">
      <c r="A158" t="s">
        <v>2551</v>
      </c>
      <c r="B158" t="s">
        <v>2709</v>
      </c>
      <c r="C158">
        <v>873889</v>
      </c>
      <c r="D158">
        <v>51.12</v>
      </c>
      <c r="E158">
        <v>46357</v>
      </c>
    </row>
    <row r="159" spans="1:5">
      <c r="A159" t="s">
        <v>2549</v>
      </c>
      <c r="B159" t="s">
        <v>2710</v>
      </c>
      <c r="C159">
        <v>732379</v>
      </c>
      <c r="D159">
        <v>46.13</v>
      </c>
      <c r="E159">
        <v>1563</v>
      </c>
    </row>
    <row r="160" spans="1:5">
      <c r="A160" t="s">
        <v>2548</v>
      </c>
      <c r="B160" t="s">
        <v>2711</v>
      </c>
      <c r="C160">
        <v>949710</v>
      </c>
      <c r="D160">
        <v>28.33</v>
      </c>
      <c r="E160">
        <v>17108</v>
      </c>
    </row>
    <row r="161" spans="1:5">
      <c r="A161" t="s">
        <v>2548</v>
      </c>
      <c r="B161" t="s">
        <v>2712</v>
      </c>
      <c r="C161">
        <v>656658</v>
      </c>
      <c r="D161">
        <v>68.16</v>
      </c>
      <c r="E161">
        <v>18179</v>
      </c>
    </row>
    <row r="162" spans="1:5">
      <c r="A162" t="s">
        <v>2552</v>
      </c>
      <c r="B162" t="s">
        <v>2713</v>
      </c>
      <c r="C162">
        <v>268318</v>
      </c>
      <c r="D162">
        <v>36.32</v>
      </c>
      <c r="E162">
        <v>16981</v>
      </c>
    </row>
    <row r="163" spans="1:5">
      <c r="A163" t="s">
        <v>2548</v>
      </c>
      <c r="B163" t="s">
        <v>2714</v>
      </c>
      <c r="C163">
        <v>922730</v>
      </c>
      <c r="D163">
        <v>22.36</v>
      </c>
      <c r="E163">
        <v>44499</v>
      </c>
    </row>
    <row r="164" spans="1:5">
      <c r="A164" t="s">
        <v>2550</v>
      </c>
      <c r="B164" t="s">
        <v>2715</v>
      </c>
      <c r="C164">
        <v>122305</v>
      </c>
      <c r="D164">
        <v>71.2</v>
      </c>
      <c r="E164">
        <v>15054</v>
      </c>
    </row>
    <row r="165" spans="1:5">
      <c r="A165" t="s">
        <v>2550</v>
      </c>
      <c r="B165" t="s">
        <v>2716</v>
      </c>
      <c r="C165">
        <v>564100</v>
      </c>
      <c r="D165">
        <v>67.260000000000005</v>
      </c>
      <c r="E165">
        <v>44644</v>
      </c>
    </row>
    <row r="166" spans="1:5">
      <c r="A166" t="s">
        <v>2549</v>
      </c>
      <c r="B166" t="s">
        <v>2717</v>
      </c>
      <c r="C166">
        <v>776427</v>
      </c>
      <c r="D166">
        <v>37.31</v>
      </c>
      <c r="E166">
        <v>11477</v>
      </c>
    </row>
    <row r="167" spans="1:5">
      <c r="A167" t="s">
        <v>2552</v>
      </c>
      <c r="B167" t="s">
        <v>2718</v>
      </c>
      <c r="C167">
        <v>697173</v>
      </c>
      <c r="D167">
        <v>64.95</v>
      </c>
      <c r="E167">
        <v>5787</v>
      </c>
    </row>
    <row r="168" spans="1:5">
      <c r="A168" t="s">
        <v>2549</v>
      </c>
      <c r="B168" t="s">
        <v>2719</v>
      </c>
      <c r="C168">
        <v>593588</v>
      </c>
      <c r="D168">
        <v>36.119999999999997</v>
      </c>
      <c r="E168">
        <v>9822</v>
      </c>
    </row>
    <row r="169" spans="1:5">
      <c r="A169" t="s">
        <v>2548</v>
      </c>
      <c r="B169" t="s">
        <v>2720</v>
      </c>
      <c r="C169">
        <v>473359</v>
      </c>
      <c r="D169">
        <v>30.55</v>
      </c>
      <c r="E169">
        <v>40853</v>
      </c>
    </row>
    <row r="170" spans="1:5">
      <c r="A170" t="s">
        <v>2549</v>
      </c>
      <c r="B170" t="s">
        <v>2721</v>
      </c>
      <c r="C170">
        <v>318585</v>
      </c>
      <c r="D170">
        <v>82.42</v>
      </c>
      <c r="E170">
        <v>44706</v>
      </c>
    </row>
    <row r="171" spans="1:5">
      <c r="A171" t="s">
        <v>2549</v>
      </c>
      <c r="B171" t="s">
        <v>2722</v>
      </c>
      <c r="C171">
        <v>436049</v>
      </c>
      <c r="D171">
        <v>37.5</v>
      </c>
      <c r="E171">
        <v>13051</v>
      </c>
    </row>
    <row r="172" spans="1:5">
      <c r="A172" t="s">
        <v>2550</v>
      </c>
      <c r="B172" t="s">
        <v>2723</v>
      </c>
      <c r="C172">
        <v>775077</v>
      </c>
      <c r="D172">
        <v>77.84</v>
      </c>
      <c r="E172">
        <v>35778</v>
      </c>
    </row>
    <row r="173" spans="1:5">
      <c r="A173" t="s">
        <v>2549</v>
      </c>
      <c r="B173" t="s">
        <v>2724</v>
      </c>
      <c r="C173">
        <v>675534</v>
      </c>
      <c r="D173">
        <v>72.239999999999995</v>
      </c>
      <c r="E173">
        <v>41818</v>
      </c>
    </row>
    <row r="174" spans="1:5">
      <c r="A174" t="s">
        <v>2551</v>
      </c>
      <c r="B174" t="s">
        <v>2725</v>
      </c>
      <c r="C174">
        <v>164824</v>
      </c>
      <c r="D174">
        <v>74.739999999999995</v>
      </c>
      <c r="E174">
        <v>25033</v>
      </c>
    </row>
    <row r="175" spans="1:5">
      <c r="A175" t="s">
        <v>2550</v>
      </c>
      <c r="B175" t="s">
        <v>2726</v>
      </c>
      <c r="C175">
        <v>913919</v>
      </c>
      <c r="D175">
        <v>78.790000000000006</v>
      </c>
      <c r="E175">
        <v>43653</v>
      </c>
    </row>
    <row r="176" spans="1:5">
      <c r="A176" t="s">
        <v>2549</v>
      </c>
      <c r="B176" t="s">
        <v>2727</v>
      </c>
      <c r="C176">
        <v>759917</v>
      </c>
      <c r="D176">
        <v>28.69</v>
      </c>
      <c r="E176">
        <v>46852</v>
      </c>
    </row>
    <row r="177" spans="1:5">
      <c r="A177" t="s">
        <v>2552</v>
      </c>
      <c r="B177" t="s">
        <v>2728</v>
      </c>
      <c r="C177">
        <v>490718</v>
      </c>
      <c r="D177">
        <v>23.21</v>
      </c>
      <c r="E177">
        <v>48972</v>
      </c>
    </row>
    <row r="178" spans="1:5">
      <c r="A178" t="s">
        <v>2552</v>
      </c>
      <c r="B178" t="s">
        <v>2729</v>
      </c>
      <c r="C178">
        <v>388856</v>
      </c>
      <c r="D178">
        <v>73.16</v>
      </c>
      <c r="E178">
        <v>27916</v>
      </c>
    </row>
    <row r="179" spans="1:5">
      <c r="A179" t="s">
        <v>2550</v>
      </c>
      <c r="B179" t="s">
        <v>2730</v>
      </c>
      <c r="C179">
        <v>480499</v>
      </c>
      <c r="D179">
        <v>24.68</v>
      </c>
      <c r="E179">
        <v>25404</v>
      </c>
    </row>
    <row r="180" spans="1:5">
      <c r="A180" t="s">
        <v>2548</v>
      </c>
      <c r="B180" t="s">
        <v>2731</v>
      </c>
      <c r="C180">
        <v>499650</v>
      </c>
      <c r="D180">
        <v>36.299999999999997</v>
      </c>
      <c r="E180">
        <v>20688</v>
      </c>
    </row>
    <row r="181" spans="1:5">
      <c r="A181" t="s">
        <v>2548</v>
      </c>
      <c r="B181" t="s">
        <v>2732</v>
      </c>
      <c r="C181">
        <v>421929</v>
      </c>
      <c r="D181">
        <v>48.12</v>
      </c>
      <c r="E181">
        <v>4296</v>
      </c>
    </row>
    <row r="182" spans="1:5">
      <c r="A182" t="s">
        <v>2549</v>
      </c>
      <c r="B182" t="s">
        <v>2733</v>
      </c>
      <c r="C182">
        <v>744858</v>
      </c>
      <c r="D182">
        <v>25.36</v>
      </c>
      <c r="E182">
        <v>46573</v>
      </c>
    </row>
    <row r="183" spans="1:5">
      <c r="A183" t="s">
        <v>2548</v>
      </c>
      <c r="B183" t="s">
        <v>2734</v>
      </c>
      <c r="C183">
        <v>148469</v>
      </c>
      <c r="D183">
        <v>79.650000000000006</v>
      </c>
      <c r="E183">
        <v>7168</v>
      </c>
    </row>
    <row r="184" spans="1:5">
      <c r="A184" t="s">
        <v>2548</v>
      </c>
      <c r="B184" t="s">
        <v>2735</v>
      </c>
      <c r="C184">
        <v>789681</v>
      </c>
      <c r="D184">
        <v>64.099999999999994</v>
      </c>
      <c r="E184">
        <v>12924</v>
      </c>
    </row>
    <row r="185" spans="1:5">
      <c r="A185" t="s">
        <v>2549</v>
      </c>
      <c r="B185" t="s">
        <v>2736</v>
      </c>
      <c r="C185">
        <v>978453</v>
      </c>
      <c r="D185">
        <v>44.99</v>
      </c>
      <c r="E185">
        <v>32975</v>
      </c>
    </row>
    <row r="186" spans="1:5">
      <c r="A186" t="s">
        <v>2551</v>
      </c>
      <c r="B186" t="s">
        <v>2737</v>
      </c>
      <c r="C186">
        <v>894909</v>
      </c>
      <c r="D186">
        <v>31.9</v>
      </c>
      <c r="E186">
        <v>4166</v>
      </c>
    </row>
    <row r="187" spans="1:5">
      <c r="A187" t="s">
        <v>2550</v>
      </c>
      <c r="B187" t="s">
        <v>2738</v>
      </c>
      <c r="C187">
        <v>502594</v>
      </c>
      <c r="D187">
        <v>31.81</v>
      </c>
      <c r="E187">
        <v>21237</v>
      </c>
    </row>
    <row r="188" spans="1:5">
      <c r="A188" t="s">
        <v>2548</v>
      </c>
      <c r="B188" t="s">
        <v>2739</v>
      </c>
      <c r="C188">
        <v>110475</v>
      </c>
      <c r="D188">
        <v>49.3</v>
      </c>
      <c r="E188">
        <v>37649</v>
      </c>
    </row>
    <row r="189" spans="1:5">
      <c r="A189" t="s">
        <v>2552</v>
      </c>
      <c r="B189" t="s">
        <v>2740</v>
      </c>
      <c r="C189">
        <v>791336</v>
      </c>
      <c r="D189">
        <v>61.74</v>
      </c>
      <c r="E189">
        <v>25087</v>
      </c>
    </row>
    <row r="190" spans="1:5">
      <c r="A190" t="s">
        <v>2552</v>
      </c>
      <c r="B190" t="s">
        <v>2741</v>
      </c>
      <c r="C190">
        <v>834408</v>
      </c>
      <c r="D190">
        <v>86.68</v>
      </c>
      <c r="E190">
        <v>7288</v>
      </c>
    </row>
    <row r="191" spans="1:5">
      <c r="A191" t="s">
        <v>2549</v>
      </c>
      <c r="B191" t="s">
        <v>2742</v>
      </c>
      <c r="C191">
        <v>289093</v>
      </c>
      <c r="D191">
        <v>57.95</v>
      </c>
      <c r="E191">
        <v>25980</v>
      </c>
    </row>
    <row r="192" spans="1:5">
      <c r="A192" t="s">
        <v>2552</v>
      </c>
      <c r="B192" t="s">
        <v>2743</v>
      </c>
      <c r="C192">
        <v>735141</v>
      </c>
      <c r="D192">
        <v>23.17</v>
      </c>
      <c r="E192">
        <v>22676</v>
      </c>
    </row>
    <row r="193" spans="1:5">
      <c r="A193" t="s">
        <v>2548</v>
      </c>
      <c r="B193" t="s">
        <v>2744</v>
      </c>
      <c r="C193">
        <v>939956</v>
      </c>
      <c r="D193">
        <v>73.22</v>
      </c>
      <c r="E193">
        <v>44244</v>
      </c>
    </row>
    <row r="194" spans="1:5">
      <c r="A194" t="s">
        <v>2552</v>
      </c>
      <c r="B194" t="s">
        <v>2745</v>
      </c>
      <c r="C194">
        <v>221005</v>
      </c>
      <c r="D194">
        <v>71.44</v>
      </c>
      <c r="E194">
        <v>8843</v>
      </c>
    </row>
    <row r="195" spans="1:5">
      <c r="A195" t="s">
        <v>2548</v>
      </c>
      <c r="B195" t="s">
        <v>2746</v>
      </c>
      <c r="C195">
        <v>720329</v>
      </c>
      <c r="D195">
        <v>60.52</v>
      </c>
      <c r="E195">
        <v>22055</v>
      </c>
    </row>
    <row r="196" spans="1:5">
      <c r="A196" t="s">
        <v>2551</v>
      </c>
      <c r="B196" t="s">
        <v>2747</v>
      </c>
      <c r="C196">
        <v>335395</v>
      </c>
      <c r="D196">
        <v>54.43</v>
      </c>
      <c r="E196">
        <v>33126</v>
      </c>
    </row>
    <row r="197" spans="1:5">
      <c r="A197" t="s">
        <v>2549</v>
      </c>
      <c r="B197" t="s">
        <v>2748</v>
      </c>
      <c r="C197">
        <v>940692</v>
      </c>
      <c r="D197">
        <v>56.8</v>
      </c>
      <c r="E197">
        <v>24575</v>
      </c>
    </row>
    <row r="198" spans="1:5">
      <c r="A198" t="s">
        <v>2551</v>
      </c>
      <c r="B198" t="s">
        <v>2749</v>
      </c>
      <c r="C198">
        <v>199014</v>
      </c>
      <c r="D198">
        <v>62.37</v>
      </c>
      <c r="E198">
        <v>33156</v>
      </c>
    </row>
    <row r="199" spans="1:5">
      <c r="A199" t="s">
        <v>2550</v>
      </c>
      <c r="B199" t="s">
        <v>2750</v>
      </c>
      <c r="C199">
        <v>936565</v>
      </c>
      <c r="D199">
        <v>24.15</v>
      </c>
      <c r="E199">
        <v>1360</v>
      </c>
    </row>
    <row r="200" spans="1:5">
      <c r="A200" t="s">
        <v>2552</v>
      </c>
      <c r="B200" t="s">
        <v>2751</v>
      </c>
      <c r="C200">
        <v>756786</v>
      </c>
      <c r="D200">
        <v>53.69</v>
      </c>
      <c r="E200">
        <v>33661</v>
      </c>
    </row>
    <row r="201" spans="1:5">
      <c r="A201" t="s">
        <v>2551</v>
      </c>
      <c r="B201" t="s">
        <v>2752</v>
      </c>
      <c r="C201">
        <v>982213</v>
      </c>
      <c r="D201">
        <v>28.68</v>
      </c>
      <c r="E201">
        <v>20508</v>
      </c>
    </row>
    <row r="202" spans="1:5">
      <c r="A202" t="s">
        <v>2550</v>
      </c>
      <c r="B202" t="s">
        <v>2753</v>
      </c>
      <c r="C202">
        <v>833761</v>
      </c>
      <c r="D202">
        <v>78.459999999999994</v>
      </c>
      <c r="E202">
        <v>6698</v>
      </c>
    </row>
    <row r="203" spans="1:5">
      <c r="A203" t="s">
        <v>2548</v>
      </c>
      <c r="B203" t="s">
        <v>2754</v>
      </c>
      <c r="C203">
        <v>728140</v>
      </c>
      <c r="D203">
        <v>68.459999999999994</v>
      </c>
      <c r="E203">
        <v>34220</v>
      </c>
    </row>
    <row r="204" spans="1:5">
      <c r="A204" t="s">
        <v>2548</v>
      </c>
      <c r="B204" t="s">
        <v>2755</v>
      </c>
      <c r="C204">
        <v>286015</v>
      </c>
      <c r="D204">
        <v>67.319999999999993</v>
      </c>
      <c r="E204">
        <v>41014</v>
      </c>
    </row>
    <row r="205" spans="1:5">
      <c r="A205" t="s">
        <v>2552</v>
      </c>
      <c r="B205" t="s">
        <v>2756</v>
      </c>
      <c r="C205">
        <v>639252</v>
      </c>
      <c r="D205">
        <v>52.93</v>
      </c>
      <c r="E205">
        <v>3964</v>
      </c>
    </row>
    <row r="206" spans="1:5">
      <c r="A206" t="s">
        <v>2549</v>
      </c>
      <c r="B206" t="s">
        <v>2757</v>
      </c>
      <c r="C206">
        <v>849657</v>
      </c>
      <c r="D206">
        <v>53.55</v>
      </c>
      <c r="E206">
        <v>13156</v>
      </c>
    </row>
    <row r="207" spans="1:5">
      <c r="A207" t="s">
        <v>2551</v>
      </c>
      <c r="B207" t="s">
        <v>2758</v>
      </c>
      <c r="C207">
        <v>451149</v>
      </c>
      <c r="D207">
        <v>84.61</v>
      </c>
      <c r="E207">
        <v>11805</v>
      </c>
    </row>
    <row r="208" spans="1:5">
      <c r="A208" t="s">
        <v>2552</v>
      </c>
      <c r="B208" t="s">
        <v>2759</v>
      </c>
      <c r="C208">
        <v>302507</v>
      </c>
      <c r="D208">
        <v>21.66</v>
      </c>
      <c r="E208">
        <v>22433</v>
      </c>
    </row>
    <row r="209" spans="1:5">
      <c r="A209" t="s">
        <v>2552</v>
      </c>
      <c r="B209" t="s">
        <v>2760</v>
      </c>
      <c r="C209">
        <v>326859</v>
      </c>
      <c r="D209">
        <v>83.37</v>
      </c>
      <c r="E209">
        <v>28262</v>
      </c>
    </row>
    <row r="210" spans="1:5">
      <c r="A210" t="s">
        <v>2551</v>
      </c>
      <c r="B210" t="s">
        <v>2761</v>
      </c>
      <c r="C210">
        <v>603082</v>
      </c>
      <c r="D210">
        <v>85.53</v>
      </c>
      <c r="E210">
        <v>33165</v>
      </c>
    </row>
    <row r="211" spans="1:5">
      <c r="A211" t="s">
        <v>2549</v>
      </c>
      <c r="B211" t="s">
        <v>2762</v>
      </c>
      <c r="C211">
        <v>103751</v>
      </c>
      <c r="D211">
        <v>75.98</v>
      </c>
      <c r="E211">
        <v>37224</v>
      </c>
    </row>
    <row r="212" spans="1:5">
      <c r="A212" t="s">
        <v>2548</v>
      </c>
      <c r="B212" t="s">
        <v>2763</v>
      </c>
      <c r="C212">
        <v>919430</v>
      </c>
      <c r="D212">
        <v>23.76</v>
      </c>
      <c r="E212">
        <v>39535</v>
      </c>
    </row>
    <row r="213" spans="1:5">
      <c r="A213" t="s">
        <v>2551</v>
      </c>
      <c r="B213" t="s">
        <v>2764</v>
      </c>
      <c r="C213">
        <v>787433</v>
      </c>
      <c r="D213">
        <v>64.42</v>
      </c>
      <c r="E213">
        <v>15694</v>
      </c>
    </row>
    <row r="214" spans="1:5">
      <c r="A214" t="s">
        <v>2550</v>
      </c>
      <c r="B214" t="s">
        <v>2765</v>
      </c>
      <c r="C214">
        <v>281363</v>
      </c>
      <c r="D214">
        <v>74.73</v>
      </c>
      <c r="E214">
        <v>43170</v>
      </c>
    </row>
    <row r="215" spans="1:5">
      <c r="A215" t="s">
        <v>2550</v>
      </c>
      <c r="B215" t="s">
        <v>2766</v>
      </c>
      <c r="C215">
        <v>838303</v>
      </c>
      <c r="D215">
        <v>23.9</v>
      </c>
      <c r="E215">
        <v>46576</v>
      </c>
    </row>
    <row r="216" spans="1:5">
      <c r="A216" t="s">
        <v>2550</v>
      </c>
      <c r="B216" t="s">
        <v>2767</v>
      </c>
      <c r="C216">
        <v>964906</v>
      </c>
      <c r="D216">
        <v>57.58</v>
      </c>
      <c r="E216">
        <v>13469</v>
      </c>
    </row>
    <row r="217" spans="1:5">
      <c r="A217" t="s">
        <v>2551</v>
      </c>
      <c r="B217" t="s">
        <v>2768</v>
      </c>
      <c r="C217">
        <v>822598</v>
      </c>
      <c r="D217">
        <v>25.2</v>
      </c>
      <c r="E217">
        <v>44992</v>
      </c>
    </row>
    <row r="218" spans="1:5">
      <c r="A218" t="s">
        <v>2552</v>
      </c>
      <c r="B218" t="s">
        <v>2769</v>
      </c>
      <c r="C218">
        <v>882823</v>
      </c>
      <c r="D218">
        <v>84.35</v>
      </c>
      <c r="E218">
        <v>46966</v>
      </c>
    </row>
    <row r="219" spans="1:5">
      <c r="A219" t="s">
        <v>2552</v>
      </c>
      <c r="B219" t="s">
        <v>2770</v>
      </c>
      <c r="C219">
        <v>209832</v>
      </c>
      <c r="D219">
        <v>85.75</v>
      </c>
      <c r="E219">
        <v>6365</v>
      </c>
    </row>
    <row r="220" spans="1:5">
      <c r="A220" t="s">
        <v>2552</v>
      </c>
      <c r="B220" t="s">
        <v>2771</v>
      </c>
      <c r="C220">
        <v>895050</v>
      </c>
      <c r="D220">
        <v>42.36</v>
      </c>
      <c r="E220">
        <v>25720</v>
      </c>
    </row>
    <row r="221" spans="1:5">
      <c r="A221" t="s">
        <v>2548</v>
      </c>
      <c r="B221" t="s">
        <v>2772</v>
      </c>
      <c r="C221">
        <v>439177</v>
      </c>
      <c r="D221">
        <v>47.51</v>
      </c>
      <c r="E221">
        <v>14512</v>
      </c>
    </row>
    <row r="222" spans="1:5">
      <c r="A222" t="s">
        <v>2552</v>
      </c>
      <c r="B222" t="s">
        <v>2773</v>
      </c>
      <c r="C222">
        <v>693204</v>
      </c>
      <c r="D222">
        <v>84.23</v>
      </c>
      <c r="E222">
        <v>15260</v>
      </c>
    </row>
    <row r="223" spans="1:5">
      <c r="A223" t="s">
        <v>2550</v>
      </c>
      <c r="B223" t="s">
        <v>2774</v>
      </c>
      <c r="C223">
        <v>733367</v>
      </c>
      <c r="D223">
        <v>45.88</v>
      </c>
      <c r="E223">
        <v>7881</v>
      </c>
    </row>
    <row r="224" spans="1:5">
      <c r="A224" t="s">
        <v>2551</v>
      </c>
      <c r="B224" t="s">
        <v>2775</v>
      </c>
      <c r="C224">
        <v>383044</v>
      </c>
      <c r="D224">
        <v>86.61</v>
      </c>
      <c r="E224">
        <v>29862</v>
      </c>
    </row>
    <row r="225" spans="1:5">
      <c r="A225" t="s">
        <v>2552</v>
      </c>
      <c r="B225" t="s">
        <v>2776</v>
      </c>
      <c r="C225">
        <v>440419</v>
      </c>
      <c r="D225">
        <v>33.1</v>
      </c>
      <c r="E225">
        <v>48082</v>
      </c>
    </row>
    <row r="226" spans="1:5">
      <c r="A226" t="s">
        <v>2551</v>
      </c>
      <c r="B226" t="s">
        <v>2777</v>
      </c>
      <c r="C226">
        <v>753536</v>
      </c>
      <c r="D226">
        <v>38.450000000000003</v>
      </c>
      <c r="E226">
        <v>10729</v>
      </c>
    </row>
    <row r="227" spans="1:5">
      <c r="A227" t="s">
        <v>2549</v>
      </c>
      <c r="B227" t="s">
        <v>2778</v>
      </c>
      <c r="C227">
        <v>612100</v>
      </c>
      <c r="D227">
        <v>70.58</v>
      </c>
      <c r="E227">
        <v>46591</v>
      </c>
    </row>
    <row r="228" spans="1:5">
      <c r="A228" t="s">
        <v>2548</v>
      </c>
      <c r="B228" t="s">
        <v>2779</v>
      </c>
      <c r="C228">
        <v>242534</v>
      </c>
      <c r="D228">
        <v>39.94</v>
      </c>
      <c r="E228">
        <v>21442</v>
      </c>
    </row>
    <row r="229" spans="1:5">
      <c r="A229" t="s">
        <v>2548</v>
      </c>
      <c r="B229" t="s">
        <v>2780</v>
      </c>
      <c r="C229">
        <v>479641</v>
      </c>
      <c r="D229">
        <v>38.51</v>
      </c>
      <c r="E229">
        <v>10312</v>
      </c>
    </row>
    <row r="230" spans="1:5">
      <c r="A230" t="s">
        <v>2548</v>
      </c>
      <c r="B230" t="s">
        <v>2781</v>
      </c>
      <c r="C230">
        <v>400141</v>
      </c>
      <c r="D230">
        <v>38.94</v>
      </c>
      <c r="E230">
        <v>22812</v>
      </c>
    </row>
    <row r="231" spans="1:5">
      <c r="A231" t="s">
        <v>2551</v>
      </c>
      <c r="B231" t="s">
        <v>2782</v>
      </c>
      <c r="C231">
        <v>286420</v>
      </c>
      <c r="D231">
        <v>71.209999999999994</v>
      </c>
      <c r="E231">
        <v>10616</v>
      </c>
    </row>
    <row r="232" spans="1:5">
      <c r="A232" t="s">
        <v>2548</v>
      </c>
      <c r="B232" t="s">
        <v>2783</v>
      </c>
      <c r="C232">
        <v>771871</v>
      </c>
      <c r="D232">
        <v>70.84</v>
      </c>
      <c r="E232">
        <v>19054</v>
      </c>
    </row>
    <row r="233" spans="1:5">
      <c r="A233" t="s">
        <v>2552</v>
      </c>
      <c r="B233" t="s">
        <v>2784</v>
      </c>
      <c r="C233">
        <v>745826</v>
      </c>
      <c r="D233">
        <v>25</v>
      </c>
      <c r="E233">
        <v>13187</v>
      </c>
    </row>
    <row r="234" spans="1:5">
      <c r="A234" t="s">
        <v>2552</v>
      </c>
      <c r="B234" t="s">
        <v>2785</v>
      </c>
      <c r="C234">
        <v>133906</v>
      </c>
      <c r="D234">
        <v>38.81</v>
      </c>
      <c r="E234">
        <v>10051</v>
      </c>
    </row>
    <row r="235" spans="1:5">
      <c r="A235" t="s">
        <v>2552</v>
      </c>
      <c r="B235" t="s">
        <v>2786</v>
      </c>
      <c r="C235">
        <v>203684</v>
      </c>
      <c r="D235">
        <v>61.48</v>
      </c>
      <c r="E235">
        <v>15784</v>
      </c>
    </row>
    <row r="236" spans="1:5">
      <c r="A236" t="s">
        <v>2548</v>
      </c>
      <c r="B236" t="s">
        <v>2787</v>
      </c>
      <c r="C236">
        <v>170780</v>
      </c>
      <c r="D236">
        <v>77.67</v>
      </c>
      <c r="E236">
        <v>37665</v>
      </c>
    </row>
    <row r="237" spans="1:5">
      <c r="A237" t="s">
        <v>2548</v>
      </c>
      <c r="B237" t="s">
        <v>2788</v>
      </c>
      <c r="C237">
        <v>642117</v>
      </c>
      <c r="D237">
        <v>28.13</v>
      </c>
      <c r="E237">
        <v>43898</v>
      </c>
    </row>
    <row r="238" spans="1:5">
      <c r="A238" t="s">
        <v>2552</v>
      </c>
      <c r="B238" t="s">
        <v>2789</v>
      </c>
      <c r="C238">
        <v>579472</v>
      </c>
      <c r="D238">
        <v>64.08</v>
      </c>
      <c r="E238">
        <v>46652</v>
      </c>
    </row>
    <row r="239" spans="1:5">
      <c r="A239" t="s">
        <v>2548</v>
      </c>
      <c r="B239" t="s">
        <v>2790</v>
      </c>
      <c r="C239">
        <v>976125</v>
      </c>
      <c r="D239">
        <v>37.770000000000003</v>
      </c>
      <c r="E239">
        <v>18007</v>
      </c>
    </row>
    <row r="240" spans="1:5">
      <c r="A240" t="s">
        <v>2552</v>
      </c>
      <c r="B240" t="s">
        <v>2791</v>
      </c>
      <c r="C240">
        <v>499623</v>
      </c>
      <c r="D240">
        <v>60.17</v>
      </c>
      <c r="E240">
        <v>38720</v>
      </c>
    </row>
    <row r="241" spans="1:5">
      <c r="A241" t="s">
        <v>2552</v>
      </c>
      <c r="B241" t="s">
        <v>2792</v>
      </c>
      <c r="C241">
        <v>828546</v>
      </c>
      <c r="D241">
        <v>85.68</v>
      </c>
      <c r="E241">
        <v>41489</v>
      </c>
    </row>
    <row r="242" spans="1:5">
      <c r="A242" t="s">
        <v>2552</v>
      </c>
      <c r="B242" t="s">
        <v>2793</v>
      </c>
      <c r="C242">
        <v>531552</v>
      </c>
      <c r="D242">
        <v>80.64</v>
      </c>
      <c r="E242">
        <v>33812</v>
      </c>
    </row>
    <row r="243" spans="1:5">
      <c r="A243" t="s">
        <v>2552</v>
      </c>
      <c r="B243" t="s">
        <v>2794</v>
      </c>
      <c r="C243">
        <v>332079</v>
      </c>
      <c r="D243">
        <v>24.42</v>
      </c>
      <c r="E243">
        <v>39539</v>
      </c>
    </row>
    <row r="244" spans="1:5">
      <c r="A244" t="s">
        <v>2552</v>
      </c>
      <c r="B244" t="s">
        <v>2795</v>
      </c>
      <c r="C244">
        <v>505659</v>
      </c>
      <c r="D244">
        <v>51.38</v>
      </c>
      <c r="E244">
        <v>8405</v>
      </c>
    </row>
    <row r="245" spans="1:5">
      <c r="A245" t="s">
        <v>2552</v>
      </c>
      <c r="B245" t="s">
        <v>2796</v>
      </c>
      <c r="C245">
        <v>362222</v>
      </c>
      <c r="D245">
        <v>26.79</v>
      </c>
      <c r="E245">
        <v>48284</v>
      </c>
    </row>
    <row r="246" spans="1:5">
      <c r="A246" t="s">
        <v>2552</v>
      </c>
      <c r="B246" t="s">
        <v>2797</v>
      </c>
      <c r="C246">
        <v>827634</v>
      </c>
      <c r="D246">
        <v>59.08</v>
      </c>
      <c r="E246">
        <v>35523</v>
      </c>
    </row>
    <row r="247" spans="1:5">
      <c r="A247" t="s">
        <v>2549</v>
      </c>
      <c r="B247" t="s">
        <v>2798</v>
      </c>
      <c r="C247">
        <v>696668</v>
      </c>
      <c r="D247">
        <v>81.75</v>
      </c>
      <c r="E247">
        <v>15815</v>
      </c>
    </row>
    <row r="248" spans="1:5">
      <c r="A248" t="s">
        <v>2550</v>
      </c>
      <c r="B248" t="s">
        <v>2799</v>
      </c>
      <c r="C248">
        <v>668214</v>
      </c>
      <c r="D248">
        <v>39.590000000000003</v>
      </c>
      <c r="E248">
        <v>28093</v>
      </c>
    </row>
    <row r="249" spans="1:5">
      <c r="A249" t="s">
        <v>2549</v>
      </c>
      <c r="B249" t="s">
        <v>2800</v>
      </c>
      <c r="C249">
        <v>127703</v>
      </c>
      <c r="D249">
        <v>81.16</v>
      </c>
      <c r="E249">
        <v>15304</v>
      </c>
    </row>
    <row r="250" spans="1:5">
      <c r="A250" t="s">
        <v>2551</v>
      </c>
      <c r="B250" t="s">
        <v>2801</v>
      </c>
      <c r="C250">
        <v>555272</v>
      </c>
      <c r="D250">
        <v>43.63</v>
      </c>
      <c r="E250">
        <v>19616</v>
      </c>
    </row>
    <row r="251" spans="1:5">
      <c r="A251" t="s">
        <v>2551</v>
      </c>
      <c r="B251" t="s">
        <v>2802</v>
      </c>
      <c r="C251">
        <v>305362</v>
      </c>
      <c r="D251">
        <v>70.680000000000007</v>
      </c>
      <c r="E251">
        <v>27583</v>
      </c>
    </row>
    <row r="252" spans="1:5">
      <c r="A252" t="s">
        <v>2551</v>
      </c>
      <c r="B252" t="s">
        <v>2803</v>
      </c>
      <c r="C252">
        <v>803107</v>
      </c>
      <c r="D252">
        <v>51.62</v>
      </c>
      <c r="E252">
        <v>32848</v>
      </c>
    </row>
    <row r="253" spans="1:5">
      <c r="A253" t="s">
        <v>2548</v>
      </c>
      <c r="B253" t="s">
        <v>2804</v>
      </c>
      <c r="C253">
        <v>673860</v>
      </c>
      <c r="D253">
        <v>62.53</v>
      </c>
      <c r="E253">
        <v>2119</v>
      </c>
    </row>
    <row r="254" spans="1:5">
      <c r="A254" t="s">
        <v>2551</v>
      </c>
      <c r="B254" t="s">
        <v>2805</v>
      </c>
      <c r="C254">
        <v>479602</v>
      </c>
      <c r="D254">
        <v>87.89</v>
      </c>
      <c r="E254">
        <v>40628</v>
      </c>
    </row>
    <row r="255" spans="1:5">
      <c r="A255" t="s">
        <v>2549</v>
      </c>
      <c r="B255" t="s">
        <v>2806</v>
      </c>
      <c r="C255">
        <v>171157</v>
      </c>
      <c r="D255">
        <v>36.5</v>
      </c>
      <c r="E255">
        <v>45339</v>
      </c>
    </row>
    <row r="256" spans="1:5">
      <c r="A256" t="s">
        <v>2552</v>
      </c>
      <c r="B256" t="s">
        <v>2807</v>
      </c>
      <c r="C256">
        <v>301454</v>
      </c>
      <c r="D256">
        <v>35.200000000000003</v>
      </c>
      <c r="E256">
        <v>15189</v>
      </c>
    </row>
    <row r="257" spans="1:5">
      <c r="A257" t="s">
        <v>2551</v>
      </c>
      <c r="B257" t="s">
        <v>2808</v>
      </c>
      <c r="C257">
        <v>105429</v>
      </c>
      <c r="D257">
        <v>41.57</v>
      </c>
      <c r="E257">
        <v>1227</v>
      </c>
    </row>
    <row r="258" spans="1:5">
      <c r="A258" t="s">
        <v>2551</v>
      </c>
      <c r="B258" t="s">
        <v>2809</v>
      </c>
      <c r="C258">
        <v>935593</v>
      </c>
      <c r="D258">
        <v>55.68</v>
      </c>
      <c r="E258">
        <v>29679</v>
      </c>
    </row>
    <row r="259" spans="1:5">
      <c r="A259" t="s">
        <v>2551</v>
      </c>
      <c r="B259" t="s">
        <v>2810</v>
      </c>
      <c r="C259">
        <v>916924</v>
      </c>
      <c r="D259">
        <v>67.38</v>
      </c>
      <c r="E259">
        <v>10490</v>
      </c>
    </row>
    <row r="260" spans="1:5">
      <c r="A260" t="s">
        <v>2549</v>
      </c>
      <c r="B260" t="s">
        <v>2811</v>
      </c>
      <c r="C260">
        <v>701812</v>
      </c>
      <c r="D260">
        <v>86.19</v>
      </c>
      <c r="E260">
        <v>30245</v>
      </c>
    </row>
    <row r="261" spans="1:5">
      <c r="A261" t="s">
        <v>2548</v>
      </c>
      <c r="B261" t="s">
        <v>2812</v>
      </c>
      <c r="C261">
        <v>406018</v>
      </c>
      <c r="D261">
        <v>25.63</v>
      </c>
      <c r="E261">
        <v>39910</v>
      </c>
    </row>
    <row r="262" spans="1:5">
      <c r="A262" t="s">
        <v>2551</v>
      </c>
      <c r="B262" t="s">
        <v>2813</v>
      </c>
      <c r="C262">
        <v>985963</v>
      </c>
      <c r="D262">
        <v>65.75</v>
      </c>
      <c r="E262">
        <v>29961</v>
      </c>
    </row>
    <row r="263" spans="1:5">
      <c r="A263" t="s">
        <v>2552</v>
      </c>
      <c r="B263" t="s">
        <v>2814</v>
      </c>
      <c r="C263">
        <v>257532</v>
      </c>
      <c r="D263">
        <v>55.56</v>
      </c>
      <c r="E263">
        <v>37891</v>
      </c>
    </row>
    <row r="264" spans="1:5">
      <c r="A264" t="s">
        <v>2549</v>
      </c>
      <c r="B264" t="s">
        <v>2815</v>
      </c>
      <c r="C264">
        <v>998306</v>
      </c>
      <c r="D264">
        <v>73.650000000000006</v>
      </c>
      <c r="E264">
        <v>35965</v>
      </c>
    </row>
    <row r="265" spans="1:5">
      <c r="A265" t="s">
        <v>2548</v>
      </c>
      <c r="B265" t="s">
        <v>2816</v>
      </c>
      <c r="C265">
        <v>442796</v>
      </c>
      <c r="D265">
        <v>56.58</v>
      </c>
      <c r="E265">
        <v>21685</v>
      </c>
    </row>
    <row r="266" spans="1:5">
      <c r="A266" t="s">
        <v>2551</v>
      </c>
      <c r="B266" t="s">
        <v>2817</v>
      </c>
      <c r="C266">
        <v>252900</v>
      </c>
      <c r="D266">
        <v>59.07</v>
      </c>
      <c r="E266">
        <v>2382</v>
      </c>
    </row>
    <row r="267" spans="1:5">
      <c r="A267" t="s">
        <v>2548</v>
      </c>
      <c r="B267" t="s">
        <v>2818</v>
      </c>
      <c r="C267">
        <v>332356</v>
      </c>
      <c r="D267">
        <v>20.3</v>
      </c>
      <c r="E267">
        <v>49420</v>
      </c>
    </row>
    <row r="268" spans="1:5">
      <c r="A268" t="s">
        <v>2552</v>
      </c>
      <c r="B268" t="s">
        <v>2819</v>
      </c>
      <c r="C268">
        <v>162218</v>
      </c>
      <c r="D268">
        <v>61.93</v>
      </c>
      <c r="E268">
        <v>47931</v>
      </c>
    </row>
    <row r="269" spans="1:5">
      <c r="A269" t="s">
        <v>2549</v>
      </c>
      <c r="B269" t="s">
        <v>2820</v>
      </c>
      <c r="C269">
        <v>626783</v>
      </c>
      <c r="D269">
        <v>81.78</v>
      </c>
      <c r="E269">
        <v>2363</v>
      </c>
    </row>
    <row r="270" spans="1:5">
      <c r="A270" t="s">
        <v>2551</v>
      </c>
      <c r="B270" t="s">
        <v>2821</v>
      </c>
      <c r="C270">
        <v>285394</v>
      </c>
      <c r="D270">
        <v>26.63</v>
      </c>
      <c r="E270">
        <v>5537</v>
      </c>
    </row>
    <row r="271" spans="1:5">
      <c r="A271" t="s">
        <v>2551</v>
      </c>
      <c r="B271" t="s">
        <v>2822</v>
      </c>
      <c r="C271">
        <v>902025</v>
      </c>
      <c r="D271">
        <v>57.39</v>
      </c>
      <c r="E271">
        <v>12728</v>
      </c>
    </row>
    <row r="272" spans="1:5">
      <c r="A272" t="s">
        <v>2549</v>
      </c>
      <c r="B272" t="s">
        <v>2823</v>
      </c>
      <c r="C272">
        <v>509263</v>
      </c>
      <c r="D272">
        <v>45.24</v>
      </c>
      <c r="E272">
        <v>5682</v>
      </c>
    </row>
    <row r="273" spans="1:5">
      <c r="A273" t="s">
        <v>2549</v>
      </c>
      <c r="B273" t="s">
        <v>2824</v>
      </c>
      <c r="C273">
        <v>765171</v>
      </c>
      <c r="D273">
        <v>88.15</v>
      </c>
      <c r="E273">
        <v>12792</v>
      </c>
    </row>
    <row r="274" spans="1:5">
      <c r="A274" t="s">
        <v>2548</v>
      </c>
      <c r="B274" t="s">
        <v>2825</v>
      </c>
      <c r="C274">
        <v>654450</v>
      </c>
      <c r="D274">
        <v>62.17</v>
      </c>
      <c r="E274">
        <v>3809</v>
      </c>
    </row>
    <row r="275" spans="1:5">
      <c r="A275" t="s">
        <v>2549</v>
      </c>
      <c r="B275" t="s">
        <v>2826</v>
      </c>
      <c r="C275">
        <v>469635</v>
      </c>
      <c r="D275">
        <v>28.17</v>
      </c>
      <c r="E275">
        <v>13107</v>
      </c>
    </row>
    <row r="276" spans="1:5">
      <c r="A276" t="s">
        <v>2548</v>
      </c>
      <c r="B276" t="s">
        <v>2827</v>
      </c>
      <c r="C276">
        <v>174575</v>
      </c>
      <c r="D276">
        <v>56.84</v>
      </c>
      <c r="E276">
        <v>24300</v>
      </c>
    </row>
    <row r="277" spans="1:5">
      <c r="A277" t="s">
        <v>2549</v>
      </c>
      <c r="B277" t="s">
        <v>2828</v>
      </c>
      <c r="C277">
        <v>496052</v>
      </c>
      <c r="D277">
        <v>82.71</v>
      </c>
      <c r="E277">
        <v>49004</v>
      </c>
    </row>
    <row r="278" spans="1:5">
      <c r="A278" t="s">
        <v>2551</v>
      </c>
      <c r="B278" t="s">
        <v>2829</v>
      </c>
      <c r="C278">
        <v>850332</v>
      </c>
      <c r="D278">
        <v>40.159999999999997</v>
      </c>
      <c r="E278">
        <v>45013</v>
      </c>
    </row>
    <row r="279" spans="1:5">
      <c r="A279" t="s">
        <v>2550</v>
      </c>
      <c r="B279" t="s">
        <v>2830</v>
      </c>
      <c r="C279">
        <v>661662</v>
      </c>
      <c r="D279">
        <v>66.540000000000006</v>
      </c>
      <c r="E279">
        <v>46451</v>
      </c>
    </row>
    <row r="280" spans="1:5">
      <c r="A280" t="s">
        <v>2551</v>
      </c>
      <c r="B280" t="s">
        <v>2831</v>
      </c>
      <c r="C280">
        <v>629178</v>
      </c>
      <c r="D280">
        <v>66.290000000000006</v>
      </c>
      <c r="E280">
        <v>15961</v>
      </c>
    </row>
    <row r="281" spans="1:5">
      <c r="A281" t="s">
        <v>2552</v>
      </c>
      <c r="B281" t="s">
        <v>2832</v>
      </c>
      <c r="C281">
        <v>495586</v>
      </c>
      <c r="D281">
        <v>58.89</v>
      </c>
      <c r="E281">
        <v>12091</v>
      </c>
    </row>
    <row r="282" spans="1:5">
      <c r="A282" t="s">
        <v>2549</v>
      </c>
      <c r="B282" t="s">
        <v>2833</v>
      </c>
      <c r="C282">
        <v>184731</v>
      </c>
      <c r="D282">
        <v>47.22</v>
      </c>
      <c r="E282">
        <v>17650</v>
      </c>
    </row>
    <row r="283" spans="1:5">
      <c r="A283" t="s">
        <v>2549</v>
      </c>
      <c r="B283" t="s">
        <v>2834</v>
      </c>
      <c r="C283">
        <v>373176</v>
      </c>
      <c r="D283">
        <v>74.72</v>
      </c>
      <c r="E283">
        <v>34776</v>
      </c>
    </row>
    <row r="284" spans="1:5">
      <c r="A284" t="s">
        <v>2549</v>
      </c>
      <c r="B284" t="s">
        <v>2835</v>
      </c>
      <c r="C284">
        <v>283706</v>
      </c>
      <c r="D284">
        <v>55.84</v>
      </c>
      <c r="E284">
        <v>32309</v>
      </c>
    </row>
    <row r="285" spans="1:5">
      <c r="A285" t="s">
        <v>2552</v>
      </c>
      <c r="B285" t="s">
        <v>2836</v>
      </c>
      <c r="C285">
        <v>725924</v>
      </c>
      <c r="D285">
        <v>84.04</v>
      </c>
      <c r="E285">
        <v>29909</v>
      </c>
    </row>
    <row r="286" spans="1:5">
      <c r="A286" t="s">
        <v>2552</v>
      </c>
      <c r="B286" t="s">
        <v>2837</v>
      </c>
      <c r="C286">
        <v>111554</v>
      </c>
      <c r="D286">
        <v>55.78</v>
      </c>
      <c r="E286">
        <v>11848</v>
      </c>
    </row>
    <row r="287" spans="1:5">
      <c r="A287" t="s">
        <v>2550</v>
      </c>
      <c r="B287" t="s">
        <v>2838</v>
      </c>
      <c r="C287">
        <v>553286</v>
      </c>
      <c r="D287">
        <v>46.54</v>
      </c>
      <c r="E287">
        <v>33332</v>
      </c>
    </row>
    <row r="288" spans="1:5">
      <c r="A288" t="s">
        <v>2551</v>
      </c>
      <c r="B288" t="s">
        <v>2839</v>
      </c>
      <c r="C288">
        <v>657825</v>
      </c>
      <c r="D288">
        <v>79.83</v>
      </c>
      <c r="E288">
        <v>18961</v>
      </c>
    </row>
    <row r="289" spans="1:5">
      <c r="A289" t="s">
        <v>2548</v>
      </c>
      <c r="B289" t="s">
        <v>2840</v>
      </c>
      <c r="C289">
        <v>354886</v>
      </c>
      <c r="D289">
        <v>55.36</v>
      </c>
      <c r="E289">
        <v>30673</v>
      </c>
    </row>
    <row r="290" spans="1:5">
      <c r="A290" t="s">
        <v>2550</v>
      </c>
      <c r="B290" t="s">
        <v>2841</v>
      </c>
      <c r="C290">
        <v>720594</v>
      </c>
      <c r="D290">
        <v>41.13</v>
      </c>
      <c r="E290">
        <v>21865</v>
      </c>
    </row>
    <row r="291" spans="1:5">
      <c r="A291" t="s">
        <v>2552</v>
      </c>
      <c r="B291" t="s">
        <v>2842</v>
      </c>
      <c r="C291">
        <v>401630</v>
      </c>
      <c r="D291">
        <v>44.7</v>
      </c>
      <c r="E291">
        <v>37831</v>
      </c>
    </row>
    <row r="292" spans="1:5">
      <c r="A292" t="s">
        <v>2548</v>
      </c>
      <c r="B292" t="s">
        <v>2843</v>
      </c>
      <c r="C292">
        <v>219669</v>
      </c>
      <c r="D292">
        <v>44.09</v>
      </c>
      <c r="E292">
        <v>17308</v>
      </c>
    </row>
    <row r="293" spans="1:5">
      <c r="A293" t="s">
        <v>2551</v>
      </c>
      <c r="B293" t="s">
        <v>2844</v>
      </c>
      <c r="C293">
        <v>610987</v>
      </c>
      <c r="D293">
        <v>61.06</v>
      </c>
      <c r="E293">
        <v>15222</v>
      </c>
    </row>
    <row r="294" spans="1:5">
      <c r="A294" t="s">
        <v>2548</v>
      </c>
      <c r="B294" t="s">
        <v>2845</v>
      </c>
      <c r="C294">
        <v>129066</v>
      </c>
      <c r="D294">
        <v>21.51</v>
      </c>
      <c r="E294">
        <v>33624</v>
      </c>
    </row>
    <row r="295" spans="1:5">
      <c r="A295" t="s">
        <v>2552</v>
      </c>
      <c r="B295" t="s">
        <v>2846</v>
      </c>
      <c r="C295">
        <v>402025</v>
      </c>
      <c r="D295">
        <v>44.94</v>
      </c>
      <c r="E295">
        <v>42505</v>
      </c>
    </row>
    <row r="296" spans="1:5">
      <c r="A296" t="s">
        <v>2552</v>
      </c>
      <c r="B296" t="s">
        <v>2847</v>
      </c>
      <c r="C296">
        <v>995762</v>
      </c>
      <c r="D296">
        <v>81.599999999999994</v>
      </c>
      <c r="E296">
        <v>31122</v>
      </c>
    </row>
    <row r="297" spans="1:5">
      <c r="A297" t="s">
        <v>2549</v>
      </c>
      <c r="B297" t="s">
        <v>2848</v>
      </c>
      <c r="C297">
        <v>961000</v>
      </c>
      <c r="D297">
        <v>53.59</v>
      </c>
      <c r="E297">
        <v>19417</v>
      </c>
    </row>
    <row r="298" spans="1:5">
      <c r="A298" t="s">
        <v>2550</v>
      </c>
      <c r="B298" t="s">
        <v>2849</v>
      </c>
      <c r="C298">
        <v>130240</v>
      </c>
      <c r="D298">
        <v>39.21</v>
      </c>
      <c r="E298">
        <v>15946</v>
      </c>
    </row>
    <row r="299" spans="1:5">
      <c r="A299" t="s">
        <v>2550</v>
      </c>
      <c r="B299" t="s">
        <v>2850</v>
      </c>
      <c r="C299">
        <v>801420</v>
      </c>
      <c r="D299">
        <v>79.459999999999994</v>
      </c>
      <c r="E299">
        <v>10628</v>
      </c>
    </row>
    <row r="300" spans="1:5">
      <c r="A300" t="s">
        <v>2552</v>
      </c>
      <c r="B300" t="s">
        <v>2851</v>
      </c>
      <c r="C300">
        <v>739942</v>
      </c>
      <c r="D300">
        <v>30.99</v>
      </c>
      <c r="E300">
        <v>23362</v>
      </c>
    </row>
    <row r="301" spans="1:5">
      <c r="A301" t="s">
        <v>2551</v>
      </c>
      <c r="B301" t="s">
        <v>2852</v>
      </c>
      <c r="C301">
        <v>593117</v>
      </c>
      <c r="D301">
        <v>57.09</v>
      </c>
      <c r="E301">
        <v>10400</v>
      </c>
    </row>
    <row r="302" spans="1:5">
      <c r="A302" t="s">
        <v>2551</v>
      </c>
      <c r="B302" t="s">
        <v>2853</v>
      </c>
      <c r="C302">
        <v>407208</v>
      </c>
      <c r="D302">
        <v>79.97</v>
      </c>
      <c r="E302">
        <v>35194</v>
      </c>
    </row>
    <row r="303" spans="1:5">
      <c r="A303" t="s">
        <v>2551</v>
      </c>
      <c r="B303" t="s">
        <v>2854</v>
      </c>
      <c r="C303">
        <v>329008</v>
      </c>
      <c r="D303">
        <v>41.24</v>
      </c>
      <c r="E303">
        <v>28642</v>
      </c>
    </row>
    <row r="304" spans="1:5">
      <c r="A304" t="s">
        <v>2549</v>
      </c>
      <c r="B304" t="s">
        <v>2855</v>
      </c>
      <c r="C304">
        <v>429818</v>
      </c>
      <c r="D304">
        <v>38.61</v>
      </c>
      <c r="E304">
        <v>47443</v>
      </c>
    </row>
    <row r="305" spans="1:5">
      <c r="A305" t="s">
        <v>2551</v>
      </c>
      <c r="B305" t="s">
        <v>2856</v>
      </c>
      <c r="C305">
        <v>682808</v>
      </c>
      <c r="D305">
        <v>63.15</v>
      </c>
      <c r="E305">
        <v>31997</v>
      </c>
    </row>
    <row r="306" spans="1:5">
      <c r="A306" t="s">
        <v>2548</v>
      </c>
      <c r="B306" t="s">
        <v>2857</v>
      </c>
      <c r="C306">
        <v>532768</v>
      </c>
      <c r="D306">
        <v>71.48</v>
      </c>
      <c r="E306">
        <v>36696</v>
      </c>
    </row>
    <row r="307" spans="1:5">
      <c r="A307" t="s">
        <v>2550</v>
      </c>
      <c r="B307" t="s">
        <v>2858</v>
      </c>
      <c r="C307">
        <v>511892</v>
      </c>
      <c r="D307">
        <v>49.74</v>
      </c>
      <c r="E307">
        <v>32176</v>
      </c>
    </row>
    <row r="308" spans="1:5">
      <c r="A308" t="s">
        <v>2552</v>
      </c>
      <c r="B308" t="s">
        <v>2859</v>
      </c>
      <c r="C308">
        <v>805308</v>
      </c>
      <c r="D308">
        <v>89.35</v>
      </c>
      <c r="E308">
        <v>43666</v>
      </c>
    </row>
    <row r="309" spans="1:5">
      <c r="A309" t="s">
        <v>2548</v>
      </c>
      <c r="B309" t="s">
        <v>2860</v>
      </c>
      <c r="C309">
        <v>523985</v>
      </c>
      <c r="D309">
        <v>62.42</v>
      </c>
      <c r="E309">
        <v>27286</v>
      </c>
    </row>
    <row r="310" spans="1:5">
      <c r="A310" t="s">
        <v>2548</v>
      </c>
      <c r="B310" t="s">
        <v>2861</v>
      </c>
      <c r="C310">
        <v>976452</v>
      </c>
      <c r="D310">
        <v>42.91</v>
      </c>
      <c r="E310">
        <v>42150</v>
      </c>
    </row>
    <row r="311" spans="1:5">
      <c r="A311" t="s">
        <v>2549</v>
      </c>
      <c r="B311" t="s">
        <v>2862</v>
      </c>
      <c r="C311">
        <v>217240</v>
      </c>
      <c r="D311">
        <v>63.35</v>
      </c>
      <c r="E311">
        <v>25771</v>
      </c>
    </row>
    <row r="312" spans="1:5">
      <c r="A312" t="s">
        <v>2550</v>
      </c>
      <c r="B312" t="s">
        <v>2863</v>
      </c>
      <c r="C312">
        <v>213632</v>
      </c>
      <c r="D312">
        <v>47.2</v>
      </c>
      <c r="E312">
        <v>5101</v>
      </c>
    </row>
    <row r="313" spans="1:5">
      <c r="A313" t="s">
        <v>2548</v>
      </c>
      <c r="B313" t="s">
        <v>2864</v>
      </c>
      <c r="C313">
        <v>584417</v>
      </c>
      <c r="D313">
        <v>87.12</v>
      </c>
      <c r="E313">
        <v>37272</v>
      </c>
    </row>
    <row r="314" spans="1:5">
      <c r="A314" t="s">
        <v>2551</v>
      </c>
      <c r="B314" t="s">
        <v>2865</v>
      </c>
      <c r="C314">
        <v>151961</v>
      </c>
      <c r="D314">
        <v>87.12</v>
      </c>
      <c r="E314">
        <v>6045</v>
      </c>
    </row>
    <row r="315" spans="1:5">
      <c r="A315" t="s">
        <v>2548</v>
      </c>
      <c r="B315" t="s">
        <v>2866</v>
      </c>
      <c r="C315">
        <v>485386</v>
      </c>
      <c r="D315">
        <v>89.91</v>
      </c>
      <c r="E315">
        <v>41747</v>
      </c>
    </row>
    <row r="316" spans="1:5">
      <c r="A316" t="s">
        <v>2548</v>
      </c>
      <c r="B316" t="s">
        <v>2867</v>
      </c>
      <c r="C316">
        <v>542178</v>
      </c>
      <c r="D316">
        <v>80.290000000000006</v>
      </c>
      <c r="E316">
        <v>40321</v>
      </c>
    </row>
    <row r="317" spans="1:5">
      <c r="A317" t="s">
        <v>2548</v>
      </c>
      <c r="B317" t="s">
        <v>2868</v>
      </c>
      <c r="C317">
        <v>381641</v>
      </c>
      <c r="D317">
        <v>89.42</v>
      </c>
      <c r="E317">
        <v>38484</v>
      </c>
    </row>
    <row r="318" spans="1:5">
      <c r="A318" t="s">
        <v>2548</v>
      </c>
      <c r="B318" t="s">
        <v>2869</v>
      </c>
      <c r="C318">
        <v>817850</v>
      </c>
      <c r="D318">
        <v>60.36</v>
      </c>
      <c r="E318">
        <v>13939</v>
      </c>
    </row>
    <row r="319" spans="1:5">
      <c r="A319" t="s">
        <v>2551</v>
      </c>
      <c r="B319" t="s">
        <v>2870</v>
      </c>
      <c r="C319">
        <v>270412</v>
      </c>
      <c r="D319">
        <v>24.64</v>
      </c>
      <c r="E319">
        <v>34650</v>
      </c>
    </row>
    <row r="320" spans="1:5">
      <c r="A320" t="s">
        <v>2550</v>
      </c>
      <c r="B320" t="s">
        <v>2871</v>
      </c>
      <c r="C320">
        <v>514303</v>
      </c>
      <c r="D320">
        <v>25.66</v>
      </c>
      <c r="E320">
        <v>24551</v>
      </c>
    </row>
    <row r="321" spans="1:5">
      <c r="A321" t="s">
        <v>2548</v>
      </c>
      <c r="B321" t="s">
        <v>2872</v>
      </c>
      <c r="C321">
        <v>635980</v>
      </c>
      <c r="D321">
        <v>58.61</v>
      </c>
      <c r="E321">
        <v>23748</v>
      </c>
    </row>
    <row r="322" spans="1:5">
      <c r="A322" t="s">
        <v>2551</v>
      </c>
      <c r="B322" t="s">
        <v>2873</v>
      </c>
      <c r="C322">
        <v>696928</v>
      </c>
      <c r="D322">
        <v>29.64</v>
      </c>
      <c r="E322">
        <v>48453</v>
      </c>
    </row>
    <row r="323" spans="1:5">
      <c r="A323" t="s">
        <v>2551</v>
      </c>
      <c r="B323" t="s">
        <v>2874</v>
      </c>
      <c r="C323">
        <v>339679</v>
      </c>
      <c r="D323">
        <v>56.36</v>
      </c>
      <c r="E323">
        <v>27995</v>
      </c>
    </row>
    <row r="324" spans="1:5">
      <c r="A324" t="s">
        <v>2551</v>
      </c>
      <c r="B324" t="s">
        <v>2875</v>
      </c>
      <c r="C324">
        <v>346452</v>
      </c>
      <c r="D324">
        <v>27.63</v>
      </c>
      <c r="E324">
        <v>15844</v>
      </c>
    </row>
    <row r="325" spans="1:5">
      <c r="A325" t="s">
        <v>2551</v>
      </c>
      <c r="B325" t="s">
        <v>2876</v>
      </c>
      <c r="C325">
        <v>947921</v>
      </c>
      <c r="D325">
        <v>53.91</v>
      </c>
      <c r="E325">
        <v>29757</v>
      </c>
    </row>
    <row r="326" spans="1:5">
      <c r="A326" t="s">
        <v>2552</v>
      </c>
      <c r="B326" t="s">
        <v>2877</v>
      </c>
      <c r="C326">
        <v>306772</v>
      </c>
      <c r="D326">
        <v>39.53</v>
      </c>
      <c r="E326">
        <v>6513</v>
      </c>
    </row>
    <row r="327" spans="1:5">
      <c r="A327" t="s">
        <v>2550</v>
      </c>
      <c r="B327" t="s">
        <v>2878</v>
      </c>
      <c r="C327">
        <v>916629</v>
      </c>
      <c r="D327">
        <v>61.18</v>
      </c>
      <c r="E327">
        <v>21782</v>
      </c>
    </row>
    <row r="328" spans="1:5">
      <c r="A328" t="s">
        <v>2548</v>
      </c>
      <c r="B328" t="s">
        <v>2879</v>
      </c>
      <c r="C328">
        <v>425376</v>
      </c>
      <c r="D328">
        <v>80.12</v>
      </c>
      <c r="E328">
        <v>30381</v>
      </c>
    </row>
    <row r="329" spans="1:5">
      <c r="A329" t="s">
        <v>2551</v>
      </c>
      <c r="B329" t="s">
        <v>2880</v>
      </c>
      <c r="C329">
        <v>989254</v>
      </c>
      <c r="D329">
        <v>78.239999999999995</v>
      </c>
      <c r="E329">
        <v>31321</v>
      </c>
    </row>
    <row r="330" spans="1:5">
      <c r="A330" t="s">
        <v>2552</v>
      </c>
      <c r="B330" t="s">
        <v>2881</v>
      </c>
      <c r="C330">
        <v>531338</v>
      </c>
      <c r="D330">
        <v>84.93</v>
      </c>
      <c r="E330">
        <v>18769</v>
      </c>
    </row>
    <row r="331" spans="1:5">
      <c r="A331" t="s">
        <v>2549</v>
      </c>
      <c r="B331" t="s">
        <v>2882</v>
      </c>
      <c r="C331">
        <v>241686</v>
      </c>
      <c r="D331">
        <v>53.96</v>
      </c>
      <c r="E331">
        <v>46024</v>
      </c>
    </row>
    <row r="332" spans="1:5">
      <c r="A332" t="s">
        <v>2552</v>
      </c>
      <c r="B332" t="s">
        <v>2883</v>
      </c>
      <c r="C332">
        <v>814591</v>
      </c>
      <c r="D332">
        <v>83.81</v>
      </c>
      <c r="E332">
        <v>19083</v>
      </c>
    </row>
    <row r="333" spans="1:5">
      <c r="A333" t="s">
        <v>2548</v>
      </c>
      <c r="B333" t="s">
        <v>2884</v>
      </c>
      <c r="C333">
        <v>451906</v>
      </c>
      <c r="D333">
        <v>21.02</v>
      </c>
      <c r="E333">
        <v>8500</v>
      </c>
    </row>
    <row r="334" spans="1:5">
      <c r="A334" t="s">
        <v>2548</v>
      </c>
      <c r="B334" t="s">
        <v>2885</v>
      </c>
      <c r="C334">
        <v>613045</v>
      </c>
      <c r="D334">
        <v>40.89</v>
      </c>
      <c r="E334">
        <v>22397</v>
      </c>
    </row>
    <row r="335" spans="1:5">
      <c r="A335" t="s">
        <v>2548</v>
      </c>
      <c r="B335" t="s">
        <v>2886</v>
      </c>
      <c r="C335">
        <v>212664</v>
      </c>
      <c r="D335">
        <v>69.790000000000006</v>
      </c>
      <c r="E335">
        <v>43620</v>
      </c>
    </row>
    <row r="336" spans="1:5">
      <c r="A336" t="s">
        <v>2552</v>
      </c>
      <c r="B336" t="s">
        <v>2887</v>
      </c>
      <c r="C336">
        <v>707646</v>
      </c>
      <c r="D336">
        <v>66.97</v>
      </c>
      <c r="E336">
        <v>20370</v>
      </c>
    </row>
    <row r="337" spans="1:5">
      <c r="A337" t="s">
        <v>2550</v>
      </c>
      <c r="B337" t="s">
        <v>2888</v>
      </c>
      <c r="C337">
        <v>174574</v>
      </c>
      <c r="D337">
        <v>61.87</v>
      </c>
      <c r="E337">
        <v>35062</v>
      </c>
    </row>
    <row r="338" spans="1:5">
      <c r="A338" t="s">
        <v>2552</v>
      </c>
      <c r="B338" t="s">
        <v>2889</v>
      </c>
      <c r="C338">
        <v>624471</v>
      </c>
      <c r="D338">
        <v>65.42</v>
      </c>
      <c r="E338">
        <v>20960</v>
      </c>
    </row>
    <row r="339" spans="1:5">
      <c r="A339" t="s">
        <v>2551</v>
      </c>
      <c r="B339" t="s">
        <v>2890</v>
      </c>
      <c r="C339">
        <v>533374</v>
      </c>
      <c r="D339">
        <v>24.98</v>
      </c>
      <c r="E339">
        <v>28660</v>
      </c>
    </row>
    <row r="340" spans="1:5">
      <c r="A340" t="s">
        <v>2550</v>
      </c>
      <c r="B340" t="s">
        <v>2891</v>
      </c>
      <c r="C340">
        <v>246076</v>
      </c>
      <c r="D340">
        <v>45.82</v>
      </c>
      <c r="E340">
        <v>14054</v>
      </c>
    </row>
    <row r="341" spans="1:5">
      <c r="A341" t="s">
        <v>2550</v>
      </c>
      <c r="B341" t="s">
        <v>2892</v>
      </c>
      <c r="C341">
        <v>793936</v>
      </c>
      <c r="D341">
        <v>46.96</v>
      </c>
      <c r="E341">
        <v>43982</v>
      </c>
    </row>
    <row r="342" spans="1:5">
      <c r="A342" t="s">
        <v>2550</v>
      </c>
      <c r="B342" t="s">
        <v>2893</v>
      </c>
      <c r="C342">
        <v>500977</v>
      </c>
      <c r="D342">
        <v>30.61</v>
      </c>
      <c r="E342">
        <v>7455</v>
      </c>
    </row>
    <row r="343" spans="1:5">
      <c r="A343" t="s">
        <v>2552</v>
      </c>
      <c r="B343" t="s">
        <v>2894</v>
      </c>
      <c r="C343">
        <v>175092</v>
      </c>
      <c r="D343">
        <v>74.25</v>
      </c>
      <c r="E343">
        <v>2875</v>
      </c>
    </row>
    <row r="344" spans="1:5">
      <c r="A344" t="s">
        <v>2552</v>
      </c>
      <c r="B344" t="s">
        <v>2895</v>
      </c>
      <c r="C344">
        <v>489395</v>
      </c>
      <c r="D344">
        <v>56.1</v>
      </c>
      <c r="E344">
        <v>1578</v>
      </c>
    </row>
    <row r="345" spans="1:5">
      <c r="A345" t="s">
        <v>2548</v>
      </c>
      <c r="B345" t="s">
        <v>2896</v>
      </c>
      <c r="C345">
        <v>715782</v>
      </c>
      <c r="D345">
        <v>67.53</v>
      </c>
      <c r="E345">
        <v>37554</v>
      </c>
    </row>
    <row r="346" spans="1:5">
      <c r="A346" t="s">
        <v>2550</v>
      </c>
      <c r="B346" t="s">
        <v>2897</v>
      </c>
      <c r="C346">
        <v>739669</v>
      </c>
      <c r="D346">
        <v>33.32</v>
      </c>
      <c r="E346">
        <v>7391</v>
      </c>
    </row>
    <row r="347" spans="1:5">
      <c r="A347" t="s">
        <v>2548</v>
      </c>
      <c r="B347" t="s">
        <v>2898</v>
      </c>
      <c r="C347">
        <v>288398</v>
      </c>
      <c r="D347">
        <v>56.98</v>
      </c>
      <c r="E347">
        <v>13953</v>
      </c>
    </row>
    <row r="348" spans="1:5">
      <c r="A348" t="s">
        <v>2551</v>
      </c>
      <c r="B348" t="s">
        <v>2899</v>
      </c>
      <c r="C348">
        <v>622599</v>
      </c>
      <c r="D348">
        <v>37.47</v>
      </c>
      <c r="E348">
        <v>1378</v>
      </c>
    </row>
    <row r="349" spans="1:5">
      <c r="A349" t="s">
        <v>2552</v>
      </c>
      <c r="B349" t="s">
        <v>2900</v>
      </c>
      <c r="C349">
        <v>271790</v>
      </c>
      <c r="D349">
        <v>56.08</v>
      </c>
      <c r="E349">
        <v>1463</v>
      </c>
    </row>
    <row r="350" spans="1:5">
      <c r="A350" t="s">
        <v>2551</v>
      </c>
      <c r="B350" t="s">
        <v>2901</v>
      </c>
      <c r="C350">
        <v>622313</v>
      </c>
      <c r="D350">
        <v>48.99</v>
      </c>
      <c r="E350">
        <v>21526</v>
      </c>
    </row>
    <row r="351" spans="1:5">
      <c r="A351" t="s">
        <v>2552</v>
      </c>
      <c r="B351" t="s">
        <v>2902</v>
      </c>
      <c r="C351">
        <v>437289</v>
      </c>
      <c r="D351">
        <v>56.42</v>
      </c>
      <c r="E351">
        <v>40140</v>
      </c>
    </row>
    <row r="352" spans="1:5">
      <c r="A352" t="s">
        <v>2548</v>
      </c>
      <c r="B352" t="s">
        <v>2903</v>
      </c>
      <c r="C352">
        <v>551040</v>
      </c>
      <c r="D352">
        <v>72.11</v>
      </c>
      <c r="E352">
        <v>3193</v>
      </c>
    </row>
    <row r="353" spans="1:5">
      <c r="A353" t="s">
        <v>2552</v>
      </c>
      <c r="B353" t="s">
        <v>2904</v>
      </c>
      <c r="C353">
        <v>779481</v>
      </c>
      <c r="D353">
        <v>53.29</v>
      </c>
      <c r="E353">
        <v>16246</v>
      </c>
    </row>
    <row r="354" spans="1:5">
      <c r="A354" t="s">
        <v>2550</v>
      </c>
      <c r="B354" t="s">
        <v>2905</v>
      </c>
      <c r="C354">
        <v>498576</v>
      </c>
      <c r="D354">
        <v>50.82</v>
      </c>
      <c r="E354">
        <v>42998</v>
      </c>
    </row>
    <row r="355" spans="1:5">
      <c r="A355" t="s">
        <v>2548</v>
      </c>
      <c r="B355" t="s">
        <v>2906</v>
      </c>
      <c r="C355">
        <v>344201</v>
      </c>
      <c r="D355">
        <v>69.77</v>
      </c>
      <c r="E355">
        <v>19778</v>
      </c>
    </row>
    <row r="356" spans="1:5">
      <c r="A356" t="s">
        <v>2552</v>
      </c>
      <c r="B356" t="s">
        <v>2907</v>
      </c>
      <c r="C356">
        <v>146098</v>
      </c>
      <c r="D356">
        <v>36.82</v>
      </c>
      <c r="E356">
        <v>21672</v>
      </c>
    </row>
    <row r="357" spans="1:5">
      <c r="A357" t="s">
        <v>2551</v>
      </c>
      <c r="B357" t="s">
        <v>2908</v>
      </c>
      <c r="C357">
        <v>434240</v>
      </c>
      <c r="D357">
        <v>48.85</v>
      </c>
      <c r="E357">
        <v>34423</v>
      </c>
    </row>
    <row r="358" spans="1:5">
      <c r="A358" t="s">
        <v>2550</v>
      </c>
      <c r="B358" t="s">
        <v>2909</v>
      </c>
      <c r="C358">
        <v>153970</v>
      </c>
      <c r="D358">
        <v>58.65</v>
      </c>
      <c r="E358">
        <v>44458</v>
      </c>
    </row>
    <row r="359" spans="1:5">
      <c r="A359" t="s">
        <v>2552</v>
      </c>
      <c r="B359" t="s">
        <v>2910</v>
      </c>
      <c r="C359">
        <v>465215</v>
      </c>
      <c r="D359">
        <v>48.48</v>
      </c>
      <c r="E359">
        <v>32784</v>
      </c>
    </row>
    <row r="360" spans="1:5">
      <c r="A360" t="s">
        <v>2552</v>
      </c>
      <c r="B360" t="s">
        <v>2911</v>
      </c>
      <c r="C360">
        <v>863566</v>
      </c>
      <c r="D360">
        <v>76.67</v>
      </c>
      <c r="E360">
        <v>26529</v>
      </c>
    </row>
    <row r="361" spans="1:5">
      <c r="A361" t="s">
        <v>2551</v>
      </c>
      <c r="B361" t="s">
        <v>2912</v>
      </c>
      <c r="C361">
        <v>952517</v>
      </c>
      <c r="D361">
        <v>26.83</v>
      </c>
      <c r="E361">
        <v>47784</v>
      </c>
    </row>
    <row r="362" spans="1:5">
      <c r="A362" t="s">
        <v>2550</v>
      </c>
      <c r="B362" t="s">
        <v>2913</v>
      </c>
      <c r="C362">
        <v>887223</v>
      </c>
      <c r="D362">
        <v>52.19</v>
      </c>
      <c r="E362">
        <v>41478</v>
      </c>
    </row>
    <row r="363" spans="1:5">
      <c r="A363" t="s">
        <v>2549</v>
      </c>
      <c r="B363" t="s">
        <v>2914</v>
      </c>
      <c r="C363">
        <v>361426</v>
      </c>
      <c r="D363">
        <v>57.3</v>
      </c>
      <c r="E363">
        <v>39982</v>
      </c>
    </row>
    <row r="364" spans="1:5">
      <c r="A364" t="s">
        <v>2550</v>
      </c>
      <c r="B364" t="s">
        <v>2915</v>
      </c>
      <c r="C364">
        <v>512416</v>
      </c>
      <c r="D364">
        <v>59.02</v>
      </c>
      <c r="E364">
        <v>6098</v>
      </c>
    </row>
    <row r="365" spans="1:5">
      <c r="A365" t="s">
        <v>2548</v>
      </c>
      <c r="B365" t="s">
        <v>2916</v>
      </c>
      <c r="C365">
        <v>553163</v>
      </c>
      <c r="D365">
        <v>41.35</v>
      </c>
      <c r="E365">
        <v>40657</v>
      </c>
    </row>
    <row r="366" spans="1:5">
      <c r="A366" t="s">
        <v>2549</v>
      </c>
      <c r="B366" t="s">
        <v>2917</v>
      </c>
      <c r="C366">
        <v>999111</v>
      </c>
      <c r="D366">
        <v>32.69</v>
      </c>
      <c r="E366">
        <v>42153</v>
      </c>
    </row>
    <row r="367" spans="1:5">
      <c r="A367" t="s">
        <v>2552</v>
      </c>
      <c r="B367" t="s">
        <v>2918</v>
      </c>
      <c r="C367">
        <v>797877</v>
      </c>
      <c r="D367">
        <v>26.76</v>
      </c>
      <c r="E367">
        <v>42269</v>
      </c>
    </row>
    <row r="368" spans="1:5">
      <c r="A368" t="s">
        <v>2551</v>
      </c>
      <c r="B368" t="s">
        <v>2919</v>
      </c>
      <c r="C368">
        <v>593675</v>
      </c>
      <c r="D368">
        <v>68.98</v>
      </c>
      <c r="E368">
        <v>12396</v>
      </c>
    </row>
    <row r="369" spans="1:5">
      <c r="A369" t="s">
        <v>2552</v>
      </c>
      <c r="B369" t="s">
        <v>2920</v>
      </c>
      <c r="C369">
        <v>633007</v>
      </c>
      <c r="D369">
        <v>58.42</v>
      </c>
      <c r="E369">
        <v>18003</v>
      </c>
    </row>
    <row r="370" spans="1:5">
      <c r="A370" t="s">
        <v>2548</v>
      </c>
      <c r="B370" t="s">
        <v>2921</v>
      </c>
      <c r="C370">
        <v>536018</v>
      </c>
      <c r="D370">
        <v>23.23</v>
      </c>
      <c r="E370">
        <v>44354</v>
      </c>
    </row>
    <row r="371" spans="1:5">
      <c r="A371" t="s">
        <v>2548</v>
      </c>
      <c r="B371" t="s">
        <v>2922</v>
      </c>
      <c r="C371">
        <v>237903</v>
      </c>
      <c r="D371">
        <v>80.03</v>
      </c>
      <c r="E371">
        <v>7081</v>
      </c>
    </row>
    <row r="372" spans="1:5">
      <c r="A372" t="s">
        <v>2549</v>
      </c>
      <c r="B372" t="s">
        <v>2923</v>
      </c>
      <c r="C372">
        <v>811287</v>
      </c>
      <c r="D372">
        <v>37.5</v>
      </c>
      <c r="E372">
        <v>14630</v>
      </c>
    </row>
    <row r="373" spans="1:5">
      <c r="A373" t="s">
        <v>2550</v>
      </c>
      <c r="B373" t="s">
        <v>2924</v>
      </c>
      <c r="C373">
        <v>384865</v>
      </c>
      <c r="D373">
        <v>73.22</v>
      </c>
      <c r="E373">
        <v>8947</v>
      </c>
    </row>
    <row r="374" spans="1:5">
      <c r="A374" t="s">
        <v>2548</v>
      </c>
      <c r="B374" t="s">
        <v>2925</v>
      </c>
      <c r="C374">
        <v>974135</v>
      </c>
      <c r="D374">
        <v>25.99</v>
      </c>
      <c r="E374">
        <v>20968</v>
      </c>
    </row>
    <row r="375" spans="1:5">
      <c r="A375" t="s">
        <v>2548</v>
      </c>
      <c r="B375" t="s">
        <v>2926</v>
      </c>
      <c r="C375">
        <v>715380</v>
      </c>
      <c r="D375">
        <v>33.4</v>
      </c>
      <c r="E375">
        <v>36574</v>
      </c>
    </row>
    <row r="376" spans="1:5">
      <c r="A376" t="s">
        <v>2549</v>
      </c>
      <c r="B376" t="s">
        <v>2927</v>
      </c>
      <c r="C376">
        <v>198392</v>
      </c>
      <c r="D376">
        <v>54.55</v>
      </c>
      <c r="E376">
        <v>38704</v>
      </c>
    </row>
    <row r="377" spans="1:5">
      <c r="A377" t="s">
        <v>2551</v>
      </c>
      <c r="B377" t="s">
        <v>2928</v>
      </c>
      <c r="C377">
        <v>660154</v>
      </c>
      <c r="D377">
        <v>59.95</v>
      </c>
      <c r="E377">
        <v>3976</v>
      </c>
    </row>
    <row r="378" spans="1:5">
      <c r="A378" t="s">
        <v>2550</v>
      </c>
      <c r="B378" t="s">
        <v>2929</v>
      </c>
      <c r="C378">
        <v>566473</v>
      </c>
      <c r="D378">
        <v>70.349999999999994</v>
      </c>
      <c r="E378">
        <v>38068</v>
      </c>
    </row>
    <row r="379" spans="1:5">
      <c r="A379" t="s">
        <v>2548</v>
      </c>
      <c r="B379" t="s">
        <v>2930</v>
      </c>
      <c r="C379">
        <v>172263</v>
      </c>
      <c r="D379">
        <v>36.53</v>
      </c>
      <c r="E379">
        <v>48451</v>
      </c>
    </row>
    <row r="380" spans="1:5">
      <c r="A380" t="s">
        <v>2550</v>
      </c>
      <c r="B380" t="s">
        <v>2931</v>
      </c>
      <c r="C380">
        <v>132446</v>
      </c>
      <c r="D380">
        <v>34.549999999999997</v>
      </c>
      <c r="E380">
        <v>31797</v>
      </c>
    </row>
    <row r="381" spans="1:5">
      <c r="A381" t="s">
        <v>2550</v>
      </c>
      <c r="B381" t="s">
        <v>2932</v>
      </c>
      <c r="C381">
        <v>286318</v>
      </c>
      <c r="D381">
        <v>59.32</v>
      </c>
      <c r="E381">
        <v>14712</v>
      </c>
    </row>
    <row r="382" spans="1:5">
      <c r="A382" t="s">
        <v>2552</v>
      </c>
      <c r="B382" t="s">
        <v>2933</v>
      </c>
      <c r="C382">
        <v>816230</v>
      </c>
      <c r="D382">
        <v>75.47</v>
      </c>
      <c r="E382">
        <v>30208</v>
      </c>
    </row>
    <row r="383" spans="1:5">
      <c r="A383" t="s">
        <v>2552</v>
      </c>
      <c r="B383" t="s">
        <v>2934</v>
      </c>
      <c r="C383">
        <v>484924</v>
      </c>
      <c r="D383">
        <v>86.66</v>
      </c>
      <c r="E383">
        <v>32195</v>
      </c>
    </row>
    <row r="384" spans="1:5">
      <c r="A384" t="s">
        <v>2548</v>
      </c>
      <c r="B384" t="s">
        <v>2935</v>
      </c>
      <c r="C384">
        <v>838813</v>
      </c>
      <c r="D384">
        <v>33.81</v>
      </c>
      <c r="E384">
        <v>40681</v>
      </c>
    </row>
    <row r="385" spans="1:5">
      <c r="A385" t="s">
        <v>2551</v>
      </c>
      <c r="B385" t="s">
        <v>2936</v>
      </c>
      <c r="C385">
        <v>357364</v>
      </c>
      <c r="D385">
        <v>40.53</v>
      </c>
      <c r="E385">
        <v>12043</v>
      </c>
    </row>
    <row r="386" spans="1:5">
      <c r="A386" t="s">
        <v>2550</v>
      </c>
      <c r="B386" t="s">
        <v>2937</v>
      </c>
      <c r="C386">
        <v>889524</v>
      </c>
      <c r="D386">
        <v>23.05</v>
      </c>
      <c r="E386">
        <v>39172</v>
      </c>
    </row>
    <row r="387" spans="1:5">
      <c r="A387" t="s">
        <v>2548</v>
      </c>
      <c r="B387" t="s">
        <v>2938</v>
      </c>
      <c r="C387">
        <v>125623</v>
      </c>
      <c r="D387">
        <v>42.96</v>
      </c>
      <c r="E387">
        <v>12810</v>
      </c>
    </row>
    <row r="388" spans="1:5">
      <c r="A388" t="s">
        <v>2552</v>
      </c>
      <c r="B388" t="s">
        <v>2939</v>
      </c>
      <c r="C388">
        <v>126893</v>
      </c>
      <c r="D388">
        <v>53.58</v>
      </c>
      <c r="E388">
        <v>27479</v>
      </c>
    </row>
    <row r="389" spans="1:5">
      <c r="A389" t="s">
        <v>2551</v>
      </c>
      <c r="B389" t="s">
        <v>2940</v>
      </c>
      <c r="C389">
        <v>628378</v>
      </c>
      <c r="D389">
        <v>54.39</v>
      </c>
      <c r="E389">
        <v>47515</v>
      </c>
    </row>
    <row r="390" spans="1:5">
      <c r="A390" t="s">
        <v>2548</v>
      </c>
      <c r="B390" t="s">
        <v>2941</v>
      </c>
      <c r="C390">
        <v>282790</v>
      </c>
      <c r="D390">
        <v>30.44</v>
      </c>
      <c r="E390">
        <v>44958</v>
      </c>
    </row>
    <row r="391" spans="1:5">
      <c r="A391" t="s">
        <v>2552</v>
      </c>
      <c r="B391" t="s">
        <v>2942</v>
      </c>
      <c r="C391">
        <v>833609</v>
      </c>
      <c r="D391">
        <v>24.91</v>
      </c>
      <c r="E391">
        <v>43484</v>
      </c>
    </row>
    <row r="392" spans="1:5">
      <c r="A392" t="s">
        <v>2550</v>
      </c>
      <c r="B392" t="s">
        <v>2943</v>
      </c>
      <c r="C392">
        <v>855631</v>
      </c>
      <c r="D392">
        <v>69.849999999999994</v>
      </c>
      <c r="E392">
        <v>20191</v>
      </c>
    </row>
    <row r="393" spans="1:5">
      <c r="A393" t="s">
        <v>2550</v>
      </c>
      <c r="B393" t="s">
        <v>2944</v>
      </c>
      <c r="C393">
        <v>602514</v>
      </c>
      <c r="D393">
        <v>83.73</v>
      </c>
      <c r="E393">
        <v>12827</v>
      </c>
    </row>
    <row r="394" spans="1:5">
      <c r="A394" t="s">
        <v>2550</v>
      </c>
      <c r="B394" t="s">
        <v>2945</v>
      </c>
      <c r="C394">
        <v>582320</v>
      </c>
      <c r="D394">
        <v>85.53</v>
      </c>
      <c r="E394">
        <v>2373</v>
      </c>
    </row>
    <row r="395" spans="1:5">
      <c r="A395" t="s">
        <v>2550</v>
      </c>
      <c r="B395" t="s">
        <v>2946</v>
      </c>
      <c r="C395">
        <v>717905</v>
      </c>
      <c r="D395">
        <v>61.47</v>
      </c>
      <c r="E395">
        <v>23689</v>
      </c>
    </row>
    <row r="396" spans="1:5">
      <c r="A396" t="s">
        <v>2552</v>
      </c>
      <c r="B396" t="s">
        <v>2947</v>
      </c>
      <c r="C396">
        <v>177601</v>
      </c>
      <c r="D396">
        <v>44.28</v>
      </c>
      <c r="E396">
        <v>5663</v>
      </c>
    </row>
    <row r="397" spans="1:5">
      <c r="A397" t="s">
        <v>2551</v>
      </c>
      <c r="B397" t="s">
        <v>2948</v>
      </c>
      <c r="C397">
        <v>513100</v>
      </c>
      <c r="D397">
        <v>56.41</v>
      </c>
      <c r="E397">
        <v>15000</v>
      </c>
    </row>
    <row r="398" spans="1:5">
      <c r="A398" t="s">
        <v>2549</v>
      </c>
      <c r="B398" t="s">
        <v>2949</v>
      </c>
      <c r="C398">
        <v>824777</v>
      </c>
      <c r="D398">
        <v>49.22</v>
      </c>
      <c r="E398">
        <v>10738</v>
      </c>
    </row>
    <row r="399" spans="1:5">
      <c r="A399" t="s">
        <v>2552</v>
      </c>
      <c r="B399" t="s">
        <v>2950</v>
      </c>
      <c r="C399">
        <v>905033</v>
      </c>
      <c r="D399">
        <v>36.46</v>
      </c>
      <c r="E399">
        <v>14180</v>
      </c>
    </row>
    <row r="400" spans="1:5">
      <c r="A400" t="s">
        <v>2548</v>
      </c>
      <c r="B400" t="s">
        <v>2951</v>
      </c>
      <c r="C400">
        <v>753942</v>
      </c>
      <c r="D400">
        <v>72.239999999999995</v>
      </c>
      <c r="E400">
        <v>26951</v>
      </c>
    </row>
    <row r="401" spans="1:5">
      <c r="A401" t="s">
        <v>2550</v>
      </c>
      <c r="B401" t="s">
        <v>2952</v>
      </c>
      <c r="C401">
        <v>516952</v>
      </c>
      <c r="D401">
        <v>63.26</v>
      </c>
      <c r="E401">
        <v>10711</v>
      </c>
    </row>
    <row r="402" spans="1:5">
      <c r="A402" t="s">
        <v>2551</v>
      </c>
      <c r="B402" t="s">
        <v>2953</v>
      </c>
      <c r="C402">
        <v>405835</v>
      </c>
      <c r="D402">
        <v>43.93</v>
      </c>
      <c r="E402">
        <v>24059</v>
      </c>
    </row>
    <row r="403" spans="1:5">
      <c r="A403" t="s">
        <v>2549</v>
      </c>
      <c r="B403" t="s">
        <v>2954</v>
      </c>
      <c r="C403">
        <v>144108</v>
      </c>
      <c r="D403">
        <v>45.84</v>
      </c>
      <c r="E403">
        <v>26146</v>
      </c>
    </row>
    <row r="404" spans="1:5">
      <c r="A404" t="s">
        <v>2551</v>
      </c>
      <c r="B404" t="s">
        <v>2955</v>
      </c>
      <c r="C404">
        <v>782568</v>
      </c>
      <c r="D404">
        <v>84.53</v>
      </c>
      <c r="E404">
        <v>24867</v>
      </c>
    </row>
    <row r="405" spans="1:5">
      <c r="A405" t="s">
        <v>2550</v>
      </c>
      <c r="B405" t="s">
        <v>2956</v>
      </c>
      <c r="C405">
        <v>686774</v>
      </c>
      <c r="D405">
        <v>79.28</v>
      </c>
      <c r="E405">
        <v>45478</v>
      </c>
    </row>
    <row r="406" spans="1:5">
      <c r="A406" t="s">
        <v>2550</v>
      </c>
      <c r="B406" t="s">
        <v>2957</v>
      </c>
      <c r="C406">
        <v>865107</v>
      </c>
      <c r="D406">
        <v>39.68</v>
      </c>
      <c r="E406">
        <v>35387</v>
      </c>
    </row>
    <row r="407" spans="1:5">
      <c r="A407" t="s">
        <v>2549</v>
      </c>
      <c r="B407" t="s">
        <v>2958</v>
      </c>
      <c r="C407">
        <v>433278</v>
      </c>
      <c r="D407">
        <v>62.16</v>
      </c>
      <c r="E407">
        <v>12476</v>
      </c>
    </row>
    <row r="408" spans="1:5">
      <c r="A408" t="s">
        <v>2548</v>
      </c>
      <c r="B408" t="s">
        <v>2959</v>
      </c>
      <c r="C408">
        <v>629224</v>
      </c>
      <c r="D408">
        <v>72.73</v>
      </c>
      <c r="E408">
        <v>45645</v>
      </c>
    </row>
    <row r="409" spans="1:5">
      <c r="A409" t="s">
        <v>2548</v>
      </c>
      <c r="B409" t="s">
        <v>2960</v>
      </c>
      <c r="C409">
        <v>846163</v>
      </c>
      <c r="D409">
        <v>32.75</v>
      </c>
      <c r="E409">
        <v>8050</v>
      </c>
    </row>
    <row r="410" spans="1:5">
      <c r="A410" t="s">
        <v>2550</v>
      </c>
      <c r="B410" t="s">
        <v>2961</v>
      </c>
      <c r="C410">
        <v>160771</v>
      </c>
      <c r="D410">
        <v>65.88</v>
      </c>
      <c r="E410">
        <v>28514</v>
      </c>
    </row>
    <row r="411" spans="1:5">
      <c r="A411" t="s">
        <v>2551</v>
      </c>
      <c r="B411" t="s">
        <v>2962</v>
      </c>
      <c r="C411">
        <v>686294</v>
      </c>
      <c r="D411">
        <v>43.46</v>
      </c>
      <c r="E411">
        <v>8935</v>
      </c>
    </row>
    <row r="412" spans="1:5">
      <c r="A412" t="s">
        <v>2549</v>
      </c>
      <c r="B412" t="s">
        <v>2963</v>
      </c>
      <c r="C412">
        <v>988952</v>
      </c>
      <c r="D412">
        <v>38.17</v>
      </c>
      <c r="E412">
        <v>18365</v>
      </c>
    </row>
    <row r="413" spans="1:5">
      <c r="A413" t="s">
        <v>2548</v>
      </c>
      <c r="B413" t="s">
        <v>2964</v>
      </c>
      <c r="C413">
        <v>907531</v>
      </c>
      <c r="D413">
        <v>45.5</v>
      </c>
      <c r="E413">
        <v>9895</v>
      </c>
    </row>
    <row r="414" spans="1:5">
      <c r="A414" t="s">
        <v>2550</v>
      </c>
      <c r="B414" t="s">
        <v>2965</v>
      </c>
      <c r="C414">
        <v>235023</v>
      </c>
      <c r="D414">
        <v>22.51</v>
      </c>
      <c r="E414">
        <v>22176</v>
      </c>
    </row>
    <row r="415" spans="1:5">
      <c r="A415" t="s">
        <v>2552</v>
      </c>
      <c r="B415" t="s">
        <v>2966</v>
      </c>
      <c r="C415">
        <v>629619</v>
      </c>
      <c r="D415">
        <v>34.659999999999997</v>
      </c>
      <c r="E415">
        <v>29281</v>
      </c>
    </row>
    <row r="416" spans="1:5">
      <c r="A416" t="s">
        <v>2550</v>
      </c>
      <c r="B416" t="s">
        <v>2967</v>
      </c>
      <c r="C416">
        <v>329401</v>
      </c>
      <c r="D416">
        <v>79.39</v>
      </c>
      <c r="E416">
        <v>5474</v>
      </c>
    </row>
    <row r="417" spans="1:5">
      <c r="A417" t="s">
        <v>2550</v>
      </c>
      <c r="B417" t="s">
        <v>2968</v>
      </c>
      <c r="C417">
        <v>260743</v>
      </c>
      <c r="D417">
        <v>40.29</v>
      </c>
      <c r="E417">
        <v>2893</v>
      </c>
    </row>
    <row r="418" spans="1:5">
      <c r="A418" t="s">
        <v>2548</v>
      </c>
      <c r="B418" t="s">
        <v>2969</v>
      </c>
      <c r="C418">
        <v>982800</v>
      </c>
      <c r="D418">
        <v>50.22</v>
      </c>
      <c r="E418">
        <v>25731</v>
      </c>
    </row>
    <row r="419" spans="1:5">
      <c r="A419" t="s">
        <v>2551</v>
      </c>
      <c r="B419" t="s">
        <v>2970</v>
      </c>
      <c r="C419">
        <v>170248</v>
      </c>
      <c r="D419">
        <v>65.64</v>
      </c>
      <c r="E419">
        <v>16007</v>
      </c>
    </row>
    <row r="420" spans="1:5">
      <c r="A420" t="s">
        <v>2549</v>
      </c>
      <c r="B420" t="s">
        <v>2971</v>
      </c>
      <c r="C420">
        <v>695208</v>
      </c>
      <c r="D420">
        <v>70.37</v>
      </c>
      <c r="E420">
        <v>26032</v>
      </c>
    </row>
    <row r="421" spans="1:5">
      <c r="A421" t="s">
        <v>2549</v>
      </c>
      <c r="B421" t="s">
        <v>2972</v>
      </c>
      <c r="C421">
        <v>780294</v>
      </c>
      <c r="D421">
        <v>56.03</v>
      </c>
      <c r="E421">
        <v>46394</v>
      </c>
    </row>
    <row r="422" spans="1:5">
      <c r="A422" t="s">
        <v>2548</v>
      </c>
      <c r="B422" t="s">
        <v>2973</v>
      </c>
      <c r="C422">
        <v>356081</v>
      </c>
      <c r="D422">
        <v>46.86</v>
      </c>
      <c r="E422">
        <v>31537</v>
      </c>
    </row>
    <row r="423" spans="1:5">
      <c r="A423" t="s">
        <v>2551</v>
      </c>
      <c r="B423" t="s">
        <v>2974</v>
      </c>
      <c r="C423">
        <v>434545</v>
      </c>
      <c r="D423">
        <v>60.6</v>
      </c>
      <c r="E423">
        <v>14825</v>
      </c>
    </row>
    <row r="424" spans="1:5">
      <c r="A424" t="s">
        <v>2551</v>
      </c>
      <c r="B424" t="s">
        <v>2975</v>
      </c>
      <c r="C424">
        <v>639701</v>
      </c>
      <c r="D424">
        <v>70.459999999999994</v>
      </c>
      <c r="E424">
        <v>17421</v>
      </c>
    </row>
    <row r="425" spans="1:5">
      <c r="A425" t="s">
        <v>2552</v>
      </c>
      <c r="B425" t="s">
        <v>2976</v>
      </c>
      <c r="C425">
        <v>627085</v>
      </c>
      <c r="D425">
        <v>34.17</v>
      </c>
      <c r="E425">
        <v>18879</v>
      </c>
    </row>
    <row r="426" spans="1:5">
      <c r="A426" t="s">
        <v>2550</v>
      </c>
      <c r="B426" t="s">
        <v>2977</v>
      </c>
      <c r="C426">
        <v>432119</v>
      </c>
      <c r="D426">
        <v>34.97</v>
      </c>
      <c r="E426">
        <v>12431</v>
      </c>
    </row>
    <row r="427" spans="1:5">
      <c r="A427" t="s">
        <v>2549</v>
      </c>
      <c r="B427" t="s">
        <v>2978</v>
      </c>
      <c r="C427">
        <v>748296</v>
      </c>
      <c r="D427">
        <v>72.84</v>
      </c>
      <c r="E427">
        <v>7016</v>
      </c>
    </row>
    <row r="428" spans="1:5">
      <c r="A428" t="s">
        <v>2550</v>
      </c>
      <c r="B428" t="s">
        <v>2979</v>
      </c>
      <c r="C428">
        <v>851356</v>
      </c>
      <c r="D428">
        <v>42.17</v>
      </c>
      <c r="E428">
        <v>5043</v>
      </c>
    </row>
    <row r="429" spans="1:5">
      <c r="A429" t="s">
        <v>2551</v>
      </c>
      <c r="B429" t="s">
        <v>2980</v>
      </c>
      <c r="C429">
        <v>394592</v>
      </c>
      <c r="D429">
        <v>31.94</v>
      </c>
      <c r="E429">
        <v>8282</v>
      </c>
    </row>
    <row r="430" spans="1:5">
      <c r="A430" t="s">
        <v>2552</v>
      </c>
      <c r="B430" t="s">
        <v>2981</v>
      </c>
      <c r="C430">
        <v>930031</v>
      </c>
      <c r="D430">
        <v>50.27</v>
      </c>
      <c r="E430">
        <v>38038</v>
      </c>
    </row>
    <row r="431" spans="1:5">
      <c r="A431" t="s">
        <v>2548</v>
      </c>
      <c r="B431" t="s">
        <v>2982</v>
      </c>
      <c r="C431">
        <v>770272</v>
      </c>
      <c r="D431">
        <v>42.54</v>
      </c>
      <c r="E431">
        <v>18608</v>
      </c>
    </row>
    <row r="432" spans="1:5">
      <c r="A432" t="s">
        <v>2548</v>
      </c>
      <c r="B432" t="s">
        <v>2983</v>
      </c>
      <c r="C432">
        <v>215617</v>
      </c>
      <c r="D432">
        <v>45.49</v>
      </c>
      <c r="E432">
        <v>13755</v>
      </c>
    </row>
    <row r="433" spans="1:5">
      <c r="A433" t="s">
        <v>2548</v>
      </c>
      <c r="B433" t="s">
        <v>2984</v>
      </c>
      <c r="C433">
        <v>978571</v>
      </c>
      <c r="D433">
        <v>80.319999999999993</v>
      </c>
      <c r="E433">
        <v>31733</v>
      </c>
    </row>
    <row r="434" spans="1:5">
      <c r="A434" t="s">
        <v>2549</v>
      </c>
      <c r="B434" t="s">
        <v>2985</v>
      </c>
      <c r="C434">
        <v>141861</v>
      </c>
      <c r="D434">
        <v>25.55</v>
      </c>
      <c r="E434">
        <v>8966</v>
      </c>
    </row>
    <row r="435" spans="1:5">
      <c r="A435" t="s">
        <v>2549</v>
      </c>
      <c r="B435" t="s">
        <v>2986</v>
      </c>
      <c r="C435">
        <v>737190</v>
      </c>
      <c r="D435">
        <v>40</v>
      </c>
      <c r="E435">
        <v>13012</v>
      </c>
    </row>
    <row r="436" spans="1:5">
      <c r="A436" t="s">
        <v>2552</v>
      </c>
      <c r="B436" t="s">
        <v>2987</v>
      </c>
      <c r="C436">
        <v>186985</v>
      </c>
      <c r="D436">
        <v>69.41</v>
      </c>
      <c r="E436">
        <v>21756</v>
      </c>
    </row>
    <row r="437" spans="1:5">
      <c r="A437" t="s">
        <v>2548</v>
      </c>
      <c r="B437" t="s">
        <v>2988</v>
      </c>
      <c r="C437">
        <v>421730</v>
      </c>
      <c r="D437">
        <v>82.46</v>
      </c>
      <c r="E437">
        <v>43512</v>
      </c>
    </row>
    <row r="438" spans="1:5">
      <c r="A438" t="s">
        <v>2552</v>
      </c>
      <c r="B438" t="s">
        <v>2989</v>
      </c>
      <c r="C438">
        <v>339135</v>
      </c>
      <c r="D438">
        <v>47.71</v>
      </c>
      <c r="E438">
        <v>40091</v>
      </c>
    </row>
    <row r="439" spans="1:5">
      <c r="A439" t="s">
        <v>2552</v>
      </c>
      <c r="B439" t="s">
        <v>2990</v>
      </c>
      <c r="C439">
        <v>238710</v>
      </c>
      <c r="D439">
        <v>47.03</v>
      </c>
      <c r="E439">
        <v>48790</v>
      </c>
    </row>
    <row r="440" spans="1:5">
      <c r="A440" t="s">
        <v>2548</v>
      </c>
      <c r="B440" t="s">
        <v>2991</v>
      </c>
      <c r="C440">
        <v>931112</v>
      </c>
      <c r="D440">
        <v>44.98</v>
      </c>
      <c r="E440">
        <v>34240</v>
      </c>
    </row>
    <row r="441" spans="1:5">
      <c r="A441" t="s">
        <v>2552</v>
      </c>
      <c r="B441" t="s">
        <v>2992</v>
      </c>
      <c r="C441">
        <v>571084</v>
      </c>
      <c r="D441">
        <v>27.25</v>
      </c>
      <c r="E441">
        <v>1446</v>
      </c>
    </row>
    <row r="442" spans="1:5">
      <c r="A442" t="s">
        <v>2550</v>
      </c>
      <c r="B442" t="s">
        <v>2993</v>
      </c>
      <c r="C442">
        <v>701439</v>
      </c>
      <c r="D442">
        <v>72.569999999999993</v>
      </c>
      <c r="E442">
        <v>6390</v>
      </c>
    </row>
    <row r="443" spans="1:5">
      <c r="A443" t="s">
        <v>2551</v>
      </c>
      <c r="B443" t="s">
        <v>2994</v>
      </c>
      <c r="C443">
        <v>668247</v>
      </c>
      <c r="D443">
        <v>73.930000000000007</v>
      </c>
      <c r="E443">
        <v>30855</v>
      </c>
    </row>
    <row r="444" spans="1:5">
      <c r="A444" t="s">
        <v>2552</v>
      </c>
      <c r="B444" t="s">
        <v>2995</v>
      </c>
      <c r="C444">
        <v>932344</v>
      </c>
      <c r="D444">
        <v>49.72</v>
      </c>
      <c r="E444">
        <v>48397</v>
      </c>
    </row>
    <row r="445" spans="1:5">
      <c r="A445" t="s">
        <v>2552</v>
      </c>
      <c r="B445" t="s">
        <v>2996</v>
      </c>
      <c r="C445">
        <v>824968</v>
      </c>
      <c r="D445">
        <v>57.23</v>
      </c>
      <c r="E445">
        <v>30973</v>
      </c>
    </row>
    <row r="446" spans="1:5">
      <c r="A446" t="s">
        <v>2549</v>
      </c>
      <c r="B446" t="s">
        <v>2997</v>
      </c>
      <c r="C446">
        <v>956952</v>
      </c>
      <c r="D446">
        <v>30.97</v>
      </c>
      <c r="E446">
        <v>13223</v>
      </c>
    </row>
    <row r="447" spans="1:5">
      <c r="A447" t="s">
        <v>2548</v>
      </c>
      <c r="B447" t="s">
        <v>2998</v>
      </c>
      <c r="C447">
        <v>905108</v>
      </c>
      <c r="D447">
        <v>20.79</v>
      </c>
      <c r="E447">
        <v>25239</v>
      </c>
    </row>
    <row r="448" spans="1:5">
      <c r="A448" t="s">
        <v>2552</v>
      </c>
      <c r="B448" t="s">
        <v>2999</v>
      </c>
      <c r="C448">
        <v>473322</v>
      </c>
      <c r="D448">
        <v>76.39</v>
      </c>
      <c r="E448">
        <v>12178</v>
      </c>
    </row>
    <row r="449" spans="1:5">
      <c r="A449" t="s">
        <v>2550</v>
      </c>
      <c r="B449" t="s">
        <v>3000</v>
      </c>
      <c r="C449">
        <v>722998</v>
      </c>
      <c r="D449">
        <v>28.8</v>
      </c>
      <c r="E449">
        <v>13305</v>
      </c>
    </row>
    <row r="450" spans="1:5">
      <c r="A450" t="s">
        <v>2549</v>
      </c>
      <c r="B450" t="s">
        <v>3001</v>
      </c>
      <c r="C450">
        <v>671811</v>
      </c>
      <c r="D450">
        <v>52.32</v>
      </c>
      <c r="E450">
        <v>17929</v>
      </c>
    </row>
    <row r="451" spans="1:5">
      <c r="A451" t="s">
        <v>2549</v>
      </c>
      <c r="B451" t="s">
        <v>3002</v>
      </c>
      <c r="C451">
        <v>826310</v>
      </c>
      <c r="D451">
        <v>25.5</v>
      </c>
      <c r="E451">
        <v>4516</v>
      </c>
    </row>
    <row r="452" spans="1:5">
      <c r="A452" t="s">
        <v>2548</v>
      </c>
      <c r="B452" t="s">
        <v>3003</v>
      </c>
      <c r="C452">
        <v>926330</v>
      </c>
      <c r="D452">
        <v>58.99</v>
      </c>
      <c r="E452">
        <v>4126</v>
      </c>
    </row>
    <row r="453" spans="1:5">
      <c r="A453" t="s">
        <v>2549</v>
      </c>
      <c r="B453" t="s">
        <v>3004</v>
      </c>
      <c r="C453">
        <v>504369</v>
      </c>
      <c r="D453">
        <v>21.3</v>
      </c>
      <c r="E453">
        <v>28415</v>
      </c>
    </row>
    <row r="454" spans="1:5">
      <c r="A454" t="s">
        <v>2552</v>
      </c>
      <c r="B454" t="s">
        <v>3005</v>
      </c>
      <c r="C454">
        <v>780794</v>
      </c>
      <c r="D454">
        <v>64.599999999999994</v>
      </c>
      <c r="E454">
        <v>18245</v>
      </c>
    </row>
    <row r="455" spans="1:5">
      <c r="A455" t="s">
        <v>2549</v>
      </c>
      <c r="B455" t="s">
        <v>3006</v>
      </c>
      <c r="C455">
        <v>297093</v>
      </c>
      <c r="D455">
        <v>75.25</v>
      </c>
      <c r="E455">
        <v>44200</v>
      </c>
    </row>
    <row r="456" spans="1:5">
      <c r="A456" t="s">
        <v>2548</v>
      </c>
      <c r="B456" t="s">
        <v>3007</v>
      </c>
      <c r="C456">
        <v>690268</v>
      </c>
      <c r="D456">
        <v>59.14</v>
      </c>
      <c r="E456">
        <v>39939</v>
      </c>
    </row>
    <row r="457" spans="1:5">
      <c r="A457" t="s">
        <v>2552</v>
      </c>
      <c r="B457" t="s">
        <v>3008</v>
      </c>
      <c r="C457">
        <v>685913</v>
      </c>
      <c r="D457">
        <v>35.78</v>
      </c>
      <c r="E457">
        <v>33336</v>
      </c>
    </row>
    <row r="458" spans="1:5">
      <c r="A458" t="s">
        <v>2552</v>
      </c>
      <c r="B458" t="s">
        <v>3009</v>
      </c>
      <c r="C458">
        <v>662919</v>
      </c>
      <c r="D458">
        <v>22.94</v>
      </c>
      <c r="E458">
        <v>48551</v>
      </c>
    </row>
    <row r="459" spans="1:5">
      <c r="A459" t="s">
        <v>2551</v>
      </c>
      <c r="B459" t="s">
        <v>3010</v>
      </c>
      <c r="C459">
        <v>308305</v>
      </c>
      <c r="D459">
        <v>85.52</v>
      </c>
      <c r="E459">
        <v>13610</v>
      </c>
    </row>
    <row r="460" spans="1:5">
      <c r="A460" t="s">
        <v>2550</v>
      </c>
      <c r="B460" t="s">
        <v>3011</v>
      </c>
      <c r="C460">
        <v>890978</v>
      </c>
      <c r="D460">
        <v>81.12</v>
      </c>
      <c r="E460">
        <v>14070</v>
      </c>
    </row>
    <row r="461" spans="1:5">
      <c r="A461" t="s">
        <v>2548</v>
      </c>
      <c r="B461" t="s">
        <v>3012</v>
      </c>
      <c r="C461">
        <v>632595</v>
      </c>
      <c r="D461">
        <v>88.56</v>
      </c>
      <c r="E461">
        <v>15833</v>
      </c>
    </row>
    <row r="462" spans="1:5">
      <c r="A462" t="s">
        <v>2549</v>
      </c>
      <c r="B462" t="s">
        <v>3013</v>
      </c>
      <c r="C462">
        <v>620623</v>
      </c>
      <c r="D462">
        <v>76.45</v>
      </c>
      <c r="E462">
        <v>49702</v>
      </c>
    </row>
    <row r="463" spans="1:5">
      <c r="A463" t="s">
        <v>2552</v>
      </c>
      <c r="B463" t="s">
        <v>3014</v>
      </c>
      <c r="C463">
        <v>717721</v>
      </c>
      <c r="D463">
        <v>79.290000000000006</v>
      </c>
      <c r="E463">
        <v>5125</v>
      </c>
    </row>
    <row r="464" spans="1:5">
      <c r="A464" t="s">
        <v>2549</v>
      </c>
      <c r="B464" t="s">
        <v>3015</v>
      </c>
      <c r="C464">
        <v>856020</v>
      </c>
      <c r="D464">
        <v>87.92</v>
      </c>
      <c r="E464">
        <v>14383</v>
      </c>
    </row>
    <row r="465" spans="1:5">
      <c r="A465" t="s">
        <v>2549</v>
      </c>
      <c r="B465" t="s">
        <v>3016</v>
      </c>
      <c r="C465">
        <v>889831</v>
      </c>
      <c r="D465">
        <v>42.82</v>
      </c>
      <c r="E465">
        <v>20355</v>
      </c>
    </row>
    <row r="466" spans="1:5">
      <c r="A466" t="s">
        <v>2552</v>
      </c>
      <c r="B466" t="s">
        <v>3017</v>
      </c>
      <c r="C466">
        <v>312731</v>
      </c>
      <c r="D466">
        <v>31.07</v>
      </c>
      <c r="E466">
        <v>36630</v>
      </c>
    </row>
    <row r="467" spans="1:5">
      <c r="A467" t="s">
        <v>2548</v>
      </c>
      <c r="B467" t="s">
        <v>3018</v>
      </c>
      <c r="C467">
        <v>888913</v>
      </c>
      <c r="D467">
        <v>48.85</v>
      </c>
      <c r="E467">
        <v>47588</v>
      </c>
    </row>
    <row r="468" spans="1:5">
      <c r="A468" t="s">
        <v>2549</v>
      </c>
      <c r="B468" t="s">
        <v>3019</v>
      </c>
      <c r="C468">
        <v>251050</v>
      </c>
      <c r="D468">
        <v>72.36</v>
      </c>
      <c r="E468">
        <v>1493</v>
      </c>
    </row>
    <row r="469" spans="1:5">
      <c r="A469" t="s">
        <v>2550</v>
      </c>
      <c r="B469" t="s">
        <v>3020</v>
      </c>
      <c r="C469">
        <v>942419</v>
      </c>
      <c r="D469">
        <v>65.86</v>
      </c>
      <c r="E469">
        <v>40978</v>
      </c>
    </row>
    <row r="470" spans="1:5">
      <c r="A470" t="s">
        <v>2551</v>
      </c>
      <c r="B470" t="s">
        <v>3021</v>
      </c>
      <c r="C470">
        <v>235091</v>
      </c>
      <c r="D470">
        <v>65.77</v>
      </c>
      <c r="E470">
        <v>13690</v>
      </c>
    </row>
    <row r="471" spans="1:5">
      <c r="A471" t="s">
        <v>2550</v>
      </c>
      <c r="B471" t="s">
        <v>3022</v>
      </c>
      <c r="C471">
        <v>234023</v>
      </c>
      <c r="D471">
        <v>89.2</v>
      </c>
      <c r="E471">
        <v>30983</v>
      </c>
    </row>
    <row r="472" spans="1:5">
      <c r="A472" t="s">
        <v>2550</v>
      </c>
      <c r="B472" t="s">
        <v>3023</v>
      </c>
      <c r="C472">
        <v>889472</v>
      </c>
      <c r="D472">
        <v>43.42</v>
      </c>
      <c r="E472">
        <v>6178</v>
      </c>
    </row>
    <row r="473" spans="1:5">
      <c r="A473" t="s">
        <v>2548</v>
      </c>
      <c r="B473" t="s">
        <v>3024</v>
      </c>
      <c r="C473">
        <v>775259</v>
      </c>
      <c r="D473">
        <v>75.8</v>
      </c>
      <c r="E473">
        <v>2648</v>
      </c>
    </row>
    <row r="474" spans="1:5">
      <c r="A474" t="s">
        <v>2550</v>
      </c>
      <c r="B474" t="s">
        <v>3025</v>
      </c>
      <c r="C474">
        <v>878112</v>
      </c>
      <c r="D474">
        <v>85.79</v>
      </c>
      <c r="E474">
        <v>17199</v>
      </c>
    </row>
    <row r="475" spans="1:5">
      <c r="A475" t="s">
        <v>2551</v>
      </c>
      <c r="B475" t="s">
        <v>3026</v>
      </c>
      <c r="C475">
        <v>500215</v>
      </c>
      <c r="D475">
        <v>60.87</v>
      </c>
      <c r="E475">
        <v>26327</v>
      </c>
    </row>
    <row r="476" spans="1:5">
      <c r="A476" t="s">
        <v>2549</v>
      </c>
      <c r="B476" t="s">
        <v>3027</v>
      </c>
      <c r="C476">
        <v>216957</v>
      </c>
      <c r="D476">
        <v>70.3</v>
      </c>
      <c r="E476">
        <v>24710</v>
      </c>
    </row>
    <row r="477" spans="1:5">
      <c r="A477" t="s">
        <v>2552</v>
      </c>
      <c r="B477" t="s">
        <v>3028</v>
      </c>
      <c r="C477">
        <v>572475</v>
      </c>
      <c r="D477">
        <v>57.34</v>
      </c>
      <c r="E477">
        <v>25531</v>
      </c>
    </row>
    <row r="478" spans="1:5">
      <c r="A478" t="s">
        <v>2550</v>
      </c>
      <c r="B478" t="s">
        <v>3029</v>
      </c>
      <c r="C478">
        <v>415818</v>
      </c>
      <c r="D478">
        <v>80.73</v>
      </c>
      <c r="E478">
        <v>13170</v>
      </c>
    </row>
    <row r="479" spans="1:5">
      <c r="A479" t="s">
        <v>2551</v>
      </c>
      <c r="B479" t="s">
        <v>3030</v>
      </c>
      <c r="C479">
        <v>541974</v>
      </c>
      <c r="D479">
        <v>80.86</v>
      </c>
      <c r="E479">
        <v>8608</v>
      </c>
    </row>
    <row r="480" spans="1:5">
      <c r="A480" t="s">
        <v>2549</v>
      </c>
      <c r="B480" t="s">
        <v>3031</v>
      </c>
      <c r="C480">
        <v>727824</v>
      </c>
      <c r="D480">
        <v>78.63</v>
      </c>
      <c r="E480">
        <v>8701</v>
      </c>
    </row>
    <row r="481" spans="1:5">
      <c r="A481" t="s">
        <v>2551</v>
      </c>
      <c r="B481" t="s">
        <v>3032</v>
      </c>
      <c r="C481">
        <v>736052</v>
      </c>
      <c r="D481">
        <v>55.89</v>
      </c>
      <c r="E481">
        <v>7890</v>
      </c>
    </row>
    <row r="482" spans="1:5">
      <c r="A482" t="s">
        <v>2551</v>
      </c>
      <c r="B482" t="s">
        <v>3033</v>
      </c>
      <c r="C482">
        <v>414603</v>
      </c>
      <c r="D482">
        <v>33.11</v>
      </c>
      <c r="E482">
        <v>15174</v>
      </c>
    </row>
    <row r="483" spans="1:5">
      <c r="A483" t="s">
        <v>2548</v>
      </c>
      <c r="B483" t="s">
        <v>3034</v>
      </c>
      <c r="C483">
        <v>208481</v>
      </c>
      <c r="D483">
        <v>87.81</v>
      </c>
      <c r="E483">
        <v>16442</v>
      </c>
    </row>
    <row r="484" spans="1:5">
      <c r="A484" t="s">
        <v>2550</v>
      </c>
      <c r="B484" t="s">
        <v>3035</v>
      </c>
      <c r="C484">
        <v>875146</v>
      </c>
      <c r="D484">
        <v>37.67</v>
      </c>
      <c r="E484">
        <v>49571</v>
      </c>
    </row>
    <row r="485" spans="1:5">
      <c r="A485" t="s">
        <v>2548</v>
      </c>
      <c r="B485" t="s">
        <v>3036</v>
      </c>
      <c r="C485">
        <v>579169</v>
      </c>
      <c r="D485">
        <v>62.97</v>
      </c>
      <c r="E485">
        <v>2553</v>
      </c>
    </row>
    <row r="486" spans="1:5">
      <c r="A486" t="s">
        <v>2550</v>
      </c>
      <c r="B486" t="s">
        <v>3037</v>
      </c>
      <c r="C486">
        <v>969924</v>
      </c>
      <c r="D486">
        <v>83.66</v>
      </c>
      <c r="E486">
        <v>29487</v>
      </c>
    </row>
    <row r="487" spans="1:5">
      <c r="A487" t="s">
        <v>2550</v>
      </c>
      <c r="B487" t="s">
        <v>3038</v>
      </c>
      <c r="C487">
        <v>199964</v>
      </c>
      <c r="D487">
        <v>28.12</v>
      </c>
      <c r="E487">
        <v>44495</v>
      </c>
    </row>
    <row r="488" spans="1:5">
      <c r="A488" t="s">
        <v>2548</v>
      </c>
      <c r="B488" t="s">
        <v>3039</v>
      </c>
      <c r="C488">
        <v>455131</v>
      </c>
      <c r="D488">
        <v>71.94</v>
      </c>
      <c r="E488">
        <v>33674</v>
      </c>
    </row>
    <row r="489" spans="1:5">
      <c r="A489" t="s">
        <v>2550</v>
      </c>
      <c r="B489" t="s">
        <v>3040</v>
      </c>
      <c r="C489">
        <v>430623</v>
      </c>
      <c r="D489">
        <v>65.56</v>
      </c>
      <c r="E489">
        <v>1293</v>
      </c>
    </row>
    <row r="490" spans="1:5">
      <c r="A490" t="s">
        <v>2551</v>
      </c>
      <c r="B490" t="s">
        <v>3041</v>
      </c>
      <c r="C490">
        <v>967511</v>
      </c>
      <c r="D490">
        <v>67.16</v>
      </c>
      <c r="E490">
        <v>6338</v>
      </c>
    </row>
    <row r="491" spans="1:5">
      <c r="A491" t="s">
        <v>2551</v>
      </c>
      <c r="B491" t="s">
        <v>3042</v>
      </c>
      <c r="C491">
        <v>365767</v>
      </c>
      <c r="D491">
        <v>67.27</v>
      </c>
      <c r="E491">
        <v>2350</v>
      </c>
    </row>
    <row r="492" spans="1:5">
      <c r="A492" t="s">
        <v>2552</v>
      </c>
      <c r="B492" t="s">
        <v>3043</v>
      </c>
      <c r="C492">
        <v>298631</v>
      </c>
      <c r="D492">
        <v>83.14</v>
      </c>
      <c r="E492">
        <v>4559</v>
      </c>
    </row>
    <row r="493" spans="1:5">
      <c r="A493" t="s">
        <v>2549</v>
      </c>
      <c r="B493" t="s">
        <v>3044</v>
      </c>
      <c r="C493">
        <v>882721</v>
      </c>
      <c r="D493">
        <v>50.35</v>
      </c>
      <c r="E493">
        <v>44523</v>
      </c>
    </row>
    <row r="494" spans="1:5">
      <c r="A494" t="s">
        <v>2548</v>
      </c>
      <c r="B494" t="s">
        <v>3045</v>
      </c>
      <c r="C494">
        <v>432793</v>
      </c>
      <c r="D494">
        <v>24.73</v>
      </c>
      <c r="E494">
        <v>24089</v>
      </c>
    </row>
    <row r="495" spans="1:5">
      <c r="A495" t="s">
        <v>2551</v>
      </c>
      <c r="B495" t="s">
        <v>3046</v>
      </c>
      <c r="C495">
        <v>254593</v>
      </c>
      <c r="D495">
        <v>69.7</v>
      </c>
      <c r="E495">
        <v>33605</v>
      </c>
    </row>
    <row r="496" spans="1:5">
      <c r="A496" t="s">
        <v>2550</v>
      </c>
      <c r="B496" t="s">
        <v>3047</v>
      </c>
      <c r="C496">
        <v>936596</v>
      </c>
      <c r="D496">
        <v>46.39</v>
      </c>
      <c r="E496">
        <v>8378</v>
      </c>
    </row>
    <row r="497" spans="1:5">
      <c r="A497" t="s">
        <v>2552</v>
      </c>
      <c r="B497" t="s">
        <v>3048</v>
      </c>
      <c r="C497">
        <v>833021</v>
      </c>
      <c r="D497">
        <v>64.25</v>
      </c>
      <c r="E497">
        <v>45193</v>
      </c>
    </row>
    <row r="498" spans="1:5">
      <c r="A498" t="s">
        <v>2552</v>
      </c>
      <c r="B498" t="s">
        <v>3049</v>
      </c>
      <c r="C498">
        <v>489170</v>
      </c>
      <c r="D498">
        <v>80.41</v>
      </c>
      <c r="E498">
        <v>12802</v>
      </c>
    </row>
    <row r="499" spans="1:5">
      <c r="A499" t="s">
        <v>2552</v>
      </c>
      <c r="B499" t="s">
        <v>3050</v>
      </c>
      <c r="C499">
        <v>129219</v>
      </c>
      <c r="D499">
        <v>70.09</v>
      </c>
      <c r="E499">
        <v>44651</v>
      </c>
    </row>
    <row r="500" spans="1:5">
      <c r="A500" t="s">
        <v>2548</v>
      </c>
      <c r="B500" t="s">
        <v>3051</v>
      </c>
      <c r="C500">
        <v>247253</v>
      </c>
      <c r="D500">
        <v>65.62</v>
      </c>
      <c r="E500">
        <v>20115</v>
      </c>
    </row>
    <row r="501" spans="1:5">
      <c r="A501" t="s">
        <v>2548</v>
      </c>
      <c r="B501" t="s">
        <v>3052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Basic_Data</vt:lpstr>
      <vt:lpstr>Remove_duplicate</vt:lpstr>
      <vt:lpstr>Data Validation</vt:lpstr>
      <vt:lpstr>RD-2</vt:lpstr>
      <vt:lpstr>Remove Blank Rows</vt:lpstr>
      <vt:lpstr>Remove Space</vt:lpstr>
      <vt:lpstr>Data_Cleaning</vt:lpstr>
      <vt:lpstr>Split Data</vt:lpstr>
      <vt:lpstr>Incentive Calc</vt:lpstr>
      <vt:lpstr>Logical_Functions</vt:lpstr>
      <vt:lpstr>Sales1</vt:lpstr>
      <vt:lpstr>Sales2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2024-12-11T15:12:54Z</dcterms:created>
  <dcterms:modified xsi:type="dcterms:W3CDTF">2026-08-30T05:48:22Z</dcterms:modified>
</cp:coreProperties>
</file>